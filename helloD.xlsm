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ЭтаКнига" defaultThemeVersion="164011"/>
  <bookViews>
    <workbookView xWindow="93825" yWindow="0" windowWidth="1995" windowHeight="1170" tabRatio="602" activeTab="3"/>
  </bookViews>
  <sheets>
    <sheet name="proga" sheetId="11" r:id="rId1"/>
    <sheet name="список_няш" sheetId="10" r:id="rId2"/>
    <sheet name="tensei" sheetId="6" r:id="rId3"/>
    <sheet name="getCh" sheetId="7" r:id="rId4"/>
    <sheet name="sh1" sheetId="8" r:id="rId5"/>
  </sheets>
  <definedNames>
    <definedName name="_xlnm._FilterDatabase" localSheetId="0" hidden="1">proga!$A$1:$J$9</definedName>
    <definedName name="_xlnm._FilterDatabase" localSheetId="1" hidden="1">список_няш!$A$1:$E$38</definedName>
    <definedName name="_xlnm.Print_Area" localSheetId="0">proga!$A$1:$J$21</definedName>
  </definedNames>
  <calcPr calcId="162913" refMode="R1C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" i="11" l="1"/>
  <c r="A5" i="11" s="1"/>
  <c r="A6" i="11" l="1"/>
  <c r="A7" i="11"/>
  <c r="L2" i="11"/>
  <c r="D2" i="11" l="1"/>
  <c r="H2" i="11"/>
  <c r="C7" i="11"/>
  <c r="C5" i="11"/>
  <c r="C6" i="11"/>
  <c r="C4" i="11"/>
  <c r="G2" i="11"/>
  <c r="C9" i="11"/>
  <c r="E2" i="11"/>
  <c r="F2" i="11"/>
  <c r="C8" i="11"/>
</calcChain>
</file>

<file path=xl/sharedStrings.xml><?xml version="1.0" encoding="utf-8"?>
<sst xmlns="http://schemas.openxmlformats.org/spreadsheetml/2006/main" count="210" uniqueCount="184">
  <si>
    <t>Чернов Евгений Викторович</t>
  </si>
  <si>
    <t>ГБУЗ "ГКБ № 52 ДЗМ"</t>
  </si>
  <si>
    <t>главного врача Панферовой О. О.</t>
  </si>
  <si>
    <t>ГБУЗ "НИИ НДХиТ ДЗМ"</t>
  </si>
  <si>
    <t>ГБУЗ "ГКБ ИМ. Е.О. МУХИНА ДЗМ"</t>
  </si>
  <si>
    <t>главного врача Извекова Александра Александровича</t>
  </si>
  <si>
    <t>число</t>
  </si>
  <si>
    <t>месяц</t>
  </si>
  <si>
    <t>ФИО</t>
  </si>
  <si>
    <t>Ответственный</t>
  </si>
  <si>
    <t>ЛПУ</t>
  </si>
  <si>
    <t>ГБУЗ "ДЦЛИ ДЗМ"</t>
  </si>
  <si>
    <t>директора Комарова А. Г.</t>
  </si>
  <si>
    <t>Папка исходных эксель файлов</t>
  </si>
  <si>
    <t>ГБУЗ "ДГП № 42 ДЗМ"</t>
  </si>
  <si>
    <t>ГБУЗ "ГКБ ИМЕНИ В.М. БУЯНОВА ДЗМ"</t>
  </si>
  <si>
    <t>главного врача Саликова А. В.</t>
  </si>
  <si>
    <t>главного врача Гординой О. А.</t>
  </si>
  <si>
    <t>ГБУЗ "ГП № 23 ДЗМ"</t>
  </si>
  <si>
    <t>step (должно оставаться неизменным в процессе изменения)</t>
  </si>
  <si>
    <t>ГБУЗ «Детская стоматологическая поликлиника №28 ДЗМ»</t>
  </si>
  <si>
    <t>главного врача Лысенко М. А.</t>
  </si>
  <si>
    <t>главного врача Цыбульсого С. А.</t>
  </si>
  <si>
    <t>Папка для массированного редактирования</t>
  </si>
  <si>
    <t>ГБУЗ «ДГП № 23 ДЗМ»</t>
  </si>
  <si>
    <t>ГБУЗ "ГП № 210 ДЗМ"</t>
  </si>
  <si>
    <t>главного врача Алленова А. М.</t>
  </si>
  <si>
    <t>ГБУЗ «ДГП №131 ДЗМ»</t>
  </si>
  <si>
    <t>главного врача  Зайцевой Элины Геннадьевны</t>
  </si>
  <si>
    <t>главного врача Кабуловой А. А.</t>
  </si>
  <si>
    <t>ГБУЗ "ГКБ ИМ. С.И. СПАСОКУКОЦКОГО ДЗМ"</t>
  </si>
  <si>
    <t>главного врача Погонина А. В.</t>
  </si>
  <si>
    <t>главного врача Суворова Н. Н.</t>
  </si>
  <si>
    <t>ГБУЗ "КДЦ № 6 ДЗМ"</t>
  </si>
  <si>
    <t>главного врача Федорук А. В.</t>
  </si>
  <si>
    <t>ГБУЗ «ГП №220 ДЗМ»</t>
  </si>
  <si>
    <t>ГБУЗ "НИИ СП ИМ. Н.В. СКЛИФОСОВСКОГО ДЗМ"</t>
  </si>
  <si>
    <t>ГБУЗ "ГКБ ИМ. Ф.И. ИНОЗЕМЦЕВА ДЗМ"</t>
  </si>
  <si>
    <t>главного врача Маркарова А. Э.</t>
  </si>
  <si>
    <t>ГБУЗ "ГКБ ИМ. Д.Д. ПЛЕТНЁВА ДЗМ"</t>
  </si>
  <si>
    <t>главного врача Демидова А.В.</t>
  </si>
  <si>
    <t>ГБУЗ ГКБ ИМ.С.П.БОТКИНА ДЗМ</t>
  </si>
  <si>
    <t>главного врача Шабунина А. В.</t>
  </si>
  <si>
    <t> Учелькина Галина Ивановна</t>
  </si>
  <si>
    <t>ГБУЗ «ДГП № 105 ДЗМ»</t>
  </si>
  <si>
    <t>ГБУЗ "ГП № 11 ДЗМ"</t>
  </si>
  <si>
    <t>и. о. главного врача Удалова В. А.</t>
  </si>
  <si>
    <t>ГБУЗ "ГП № 6 ДЗМ"</t>
  </si>
  <si>
    <t>главного врача Кокаревой И. В.</t>
  </si>
  <si>
    <t>экслель, полученнеый от ЛПУ, идет с  суффиксом _pravkiLPU</t>
  </si>
  <si>
    <t>ГБУЗ ДГП № 110 ДЗМ</t>
  </si>
  <si>
    <t>ГБУЗ "ДГП № 140 ДЗМ"</t>
  </si>
  <si>
    <t>главного врача Чередниковой Т. А.</t>
  </si>
  <si>
    <t>ГКБ № 1 ИМ. Н.И.ПИРОГОВА</t>
  </si>
  <si>
    <t>главного врача Хайруллина И. И.</t>
  </si>
  <si>
    <t>ГБУЗ "ГКБ № 13 ДЗМ"</t>
  </si>
  <si>
    <t>главного врача Аракелова С.Э.</t>
  </si>
  <si>
    <t>главного врача Кузнецова Е. И.</t>
  </si>
  <si>
    <t>ГБУЗ «ДГП № 132 ДЗМ»</t>
  </si>
  <si>
    <t>ГБУЗ «ДГКБ СВ. ВЛАДИМИРА ДЗМ»</t>
  </si>
  <si>
    <t>главного врача Заварохина С.И.</t>
  </si>
  <si>
    <t>главного врача Мунаева Р.В.</t>
  </si>
  <si>
    <t>ГАУЗ "СП № 61 ДЗМ"</t>
  </si>
  <si>
    <t>БЮРО СУДМЕДЭКСПЕРТИЗЫ</t>
  </si>
  <si>
    <t>Заместителя начальника Бюро по экономическим вопросам Зыкунова М.М., действующего на основании доверенности № 1 от 09.01.2023</t>
  </si>
  <si>
    <t>Файлы в папке справа</t>
  </si>
  <si>
    <t>эксель, отправленный в  ЛПУ,  без суффиксов</t>
  </si>
  <si>
    <t>ГБУЗ ИКБ № 2 ДЗМ</t>
  </si>
  <si>
    <t>главного врача Красновой С.В.</t>
  </si>
  <si>
    <t>№</t>
  </si>
  <si>
    <t>директора Митиша В. А.</t>
  </si>
  <si>
    <t>комиссия ЛПУ</t>
  </si>
  <si>
    <t>Файлы в папке слева</t>
  </si>
  <si>
    <t>order+1 (начинает с 0)</t>
  </si>
  <si>
    <t>ГБУЗ "ДКЦ № 1 ДЗМ"</t>
  </si>
  <si>
    <t>главного врача Сидоровой В. П.</t>
  </si>
  <si>
    <t>2023 г.</t>
  </si>
  <si>
    <t>нужны символы "2023 г."</t>
  </si>
  <si>
    <t>главного врача Зайцева А. А.</t>
  </si>
  <si>
    <t>Path</t>
  </si>
  <si>
    <t>Files</t>
  </si>
  <si>
    <t>Номер листа</t>
  </si>
  <si>
    <t>Наименование объекта (полное)</t>
  </si>
  <si>
    <t>Организация-изготовитель (поставщик)</t>
  </si>
  <si>
    <t>Местонахождение объекта (адрес)</t>
  </si>
  <si>
    <t>Инвентарный номер</t>
  </si>
  <si>
    <t>Марка,модель,проект,тип, порода, паспорт,</t>
  </si>
  <si>
    <t>заводской</t>
  </si>
  <si>
    <t>Справочно балансовая стоимость в валюте</t>
  </si>
  <si>
    <t>Состав</t>
  </si>
  <si>
    <t>Нет комплектующих</t>
  </si>
  <si>
    <t>ГБУЗ «ДГП №28 ДЗМ»</t>
  </si>
  <si>
    <t xml:space="preserve"> главного врача Ординой О.Н.</t>
  </si>
  <si>
    <t>360292_pravkiLPU.xlsx</t>
  </si>
  <si>
    <t>360649_pravkiLPU.xlsx</t>
  </si>
  <si>
    <t>\pravkiLPU</t>
  </si>
  <si>
    <t>Папка с косячными ПДФ ТЗ   \pravkiLPU</t>
  </si>
  <si>
    <r>
      <t xml:space="preserve">Папка с правками от бухгалтерии &lt;!&lt;!&lt;!&lt;! </t>
    </r>
    <r>
      <rPr>
        <i/>
        <sz val="20"/>
        <color theme="0"/>
        <rFont val="Calibri"/>
        <family val="2"/>
        <charset val="204"/>
        <scheme val="minor"/>
      </rPr>
      <t>имена файлов заканчиваются на _pravkiLPU.xlsx</t>
    </r>
    <r>
      <rPr>
        <sz val="20"/>
        <rFont val="Calibri"/>
        <family val="2"/>
        <charset val="204"/>
        <scheme val="minor"/>
      </rPr>
      <t xml:space="preserve"> !&gt;!&gt;!&gt;!&gt;  \pravkiLPU</t>
    </r>
  </si>
  <si>
    <t>главного врача Горева В. В.</t>
  </si>
  <si>
    <t>ГБУЗ "МОРОЗОВСКАЯ ДГКБ ДЗМ"</t>
  </si>
  <si>
    <t>Должность_1</t>
  </si>
  <si>
    <t>Должность_0</t>
  </si>
  <si>
    <t>Главный врач</t>
  </si>
  <si>
    <t xml:space="preserve"> Горев Валерий Викторович</t>
  </si>
  <si>
    <t>ГАУЗ "СП № 8 ДЗМ"</t>
  </si>
  <si>
    <t>главного врача Цатуровой Ю. В.</t>
  </si>
  <si>
    <t>Цатурова Юлия Владиславовна</t>
  </si>
  <si>
    <t>Лысенко Марьяна Анатольевна</t>
  </si>
  <si>
    <t>директора Петрикова С. С.</t>
  </si>
  <si>
    <t>Директор</t>
  </si>
  <si>
    <t>Петриков Сергей Сергеевич</t>
  </si>
  <si>
    <t>ГБУЗ «Центр патологии речи и нейрореабилитации ДЗМ»</t>
  </si>
  <si>
    <t>Черемин Роман Авенирович</t>
  </si>
  <si>
    <t xml:space="preserve"> главного врача Черемина Р. А.</t>
  </si>
  <si>
    <t>Суворова Наталья Николаевна</t>
  </si>
  <si>
    <t>321927.xls</t>
  </si>
  <si>
    <t>Ультразвуковой сканер "ALOKA SSD-3500" в к-те с конвескным абдоминальным датчиком</t>
  </si>
  <si>
    <t>Hitachi Aloka Medical</t>
  </si>
  <si>
    <t xml:space="preserve">  г. Москва, Бирюлевская улица, д.25</t>
  </si>
  <si>
    <t>004410124-000150</t>
  </si>
  <si>
    <t>"SSD-3500"</t>
  </si>
  <si>
    <t>M09730</t>
  </si>
  <si>
    <t>Митиш Валерий Афанасьевич</t>
  </si>
  <si>
    <t>Маркаров Арнольд Эдуардович</t>
  </si>
  <si>
    <t>ГБУЗ "ГП № 2 ДЗМ"</t>
  </si>
  <si>
    <t>главного врача Шиндряевой Н. Н.</t>
  </si>
  <si>
    <t>Шиндряева Наталья Николаевна</t>
  </si>
  <si>
    <t>Карпович Александр Викторович</t>
  </si>
  <si>
    <t>ГБУЗ " Больница "Кузнечики" ДЗМ"</t>
  </si>
  <si>
    <t>главного врача Карповича А. В.</t>
  </si>
  <si>
    <t>ГАУЗ «МНПЦ МРВСМ ДЗМ»</t>
  </si>
  <si>
    <t>директора Погонченковой И.В.</t>
  </si>
  <si>
    <t>главного врача Шараповой О.В.</t>
  </si>
  <si>
    <t>Государственное бюджетное учреждение здравоохранения города Москвы «Городская клиническая больница имени В.В. Виноградова Департамента здравоохранения города Москвы»</t>
  </si>
  <si>
    <t>\\Files\share\Отдел ведения реестра медицинского оборудования\Группа списания\Больницы ТЗ\Ипполитова А.П\ГП 209\7.08 8.08\чернов\ПОДГОТОВЛЕНО_2023_08_15</t>
  </si>
  <si>
    <t>Мацакян Артак Мацакович</t>
  </si>
  <si>
    <t>ГБУЗ "ГП № 209 ДЗМ"</t>
  </si>
  <si>
    <t>главного врача Мацакяна А.М.</t>
  </si>
  <si>
    <t>349633_pravkiLPU.xlsx</t>
  </si>
  <si>
    <t>349636_pravkiLPU.xlsx</t>
  </si>
  <si>
    <t>349655_pravkiLPU.xlsx</t>
  </si>
  <si>
    <t>349658_pravkiLPU.xlsx</t>
  </si>
  <si>
    <t>351809_pravkiLPU.xlsx</t>
  </si>
  <si>
    <t>352284_pravkiLPU.xlsx</t>
  </si>
  <si>
    <t>352287_pravkiLPU.xlsx</t>
  </si>
  <si>
    <t>354679_pravkiLPU.xlsx</t>
  </si>
  <si>
    <t>354685_pravkiLPU.xlsx</t>
  </si>
  <si>
    <t>354692_pravkiLPU.xlsx</t>
  </si>
  <si>
    <t>355103_pravkiLPU.xlsx</t>
  </si>
  <si>
    <t>355104_pravkiLPU.xlsx</t>
  </si>
  <si>
    <t>355106_pravkiLPU.xlsx</t>
  </si>
  <si>
    <t>355109_pravkiLPU.xlsx</t>
  </si>
  <si>
    <t>355113_pravkiLPU.xlsx</t>
  </si>
  <si>
    <t>355117_pravkiLPU.xlsx</t>
  </si>
  <si>
    <t>355119_pravkiLPU.xlsx</t>
  </si>
  <si>
    <t>355120_pravkiLPU.xlsx</t>
  </si>
  <si>
    <t>355124_pravkiLPU.xlsx</t>
  </si>
  <si>
    <t>355898_pravkiLPU.xlsx</t>
  </si>
  <si>
    <t>355899_pravkiLPU.xlsx</t>
  </si>
  <si>
    <t>355901_pravkiLPU.xlsx</t>
  </si>
  <si>
    <t>349633.xlsx</t>
  </si>
  <si>
    <t>349636.xlsx</t>
  </si>
  <si>
    <t>349655.xlsx</t>
  </si>
  <si>
    <t>349658.xlsx</t>
  </si>
  <si>
    <t>351809.xlsx</t>
  </si>
  <si>
    <t>352284.xlsx</t>
  </si>
  <si>
    <t>352287.xlsx</t>
  </si>
  <si>
    <t>354679.xlsx</t>
  </si>
  <si>
    <t>354685.xlsx</t>
  </si>
  <si>
    <t>354692.xlsx</t>
  </si>
  <si>
    <t>355103.xlsx</t>
  </si>
  <si>
    <t>355104.xlsx</t>
  </si>
  <si>
    <t>355106.xlsx</t>
  </si>
  <si>
    <t>355109.xlsx</t>
  </si>
  <si>
    <t>355113.xlsx</t>
  </si>
  <si>
    <t>355117.xlsx</t>
  </si>
  <si>
    <t>355119.xlsx</t>
  </si>
  <si>
    <t>355120.xlsx</t>
  </si>
  <si>
    <t>355124.xlsx</t>
  </si>
  <si>
    <t>355898.xlsx</t>
  </si>
  <si>
    <t>355899.xlsx</t>
  </si>
  <si>
    <t>355901.xlsx</t>
  </si>
  <si>
    <t>\\Files\share\Отдел ведения реестра медицинского оборудования\Группа списания\Больницы ТЗ\Аким Идрисов\МНПЦ_МРВСМ\ПОДГОТОВЛЕНО_2023_09_06</t>
  </si>
  <si>
    <t>\\Files\share\Отдел ведения реестра медицинского оборудования\Группа списания\Больницы ТЗ\Аким Идрисов\МНПЦ_МРВСМ\ПОДГОТОВЛЕНО_2023_09_06\pravkiLPU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</si>
</sst>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3" formatCode="_-* #,##0.00_-;\-* #,##0.00_-;_-* &quot;-&quot;??_-;_-@_-"/>
  </numFmts>
  <fonts count="28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Arial"/>
      <family val="2"/>
      <charset val="204"/>
    </font>
    <font>
      <sz val="10"/>
      <color theme="1"/>
      <name val="Calibri"/>
      <family val="2"/>
      <charset val="204"/>
      <scheme val="minor"/>
    </font>
    <font>
      <sz val="10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sz val="16"/>
      <color rgb="FF002060"/>
      <name val="Calibri"/>
      <family val="2"/>
      <charset val="204"/>
      <scheme val="minor"/>
    </font>
    <font>
      <sz val="20"/>
      <name val="Calibri"/>
      <family val="2"/>
      <charset val="204"/>
      <scheme val="minor"/>
    </font>
    <font>
      <i/>
      <sz val="20"/>
      <color theme="0"/>
      <name val="Calibri"/>
      <family val="2"/>
      <charset val="204"/>
      <scheme val="minor"/>
    </font>
    <font>
      <sz val="24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  <font>
      <sz val="8"/>
      <name val="Arial"/>
      <family val="2"/>
      <charset val="204"/>
    </font>
    <font>
      <sz val="14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8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0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u/>
      <sz val="8"/>
      <color theme="10"/>
      <name val="Calibri"/>
      <family val="2"/>
      <scheme val="minor"/>
    </font>
    <font>
      <b/>
      <i/>
      <sz val="8"/>
      <color theme="1"/>
      <name val="Castellar"/>
      <family val="1"/>
    </font>
    <font>
      <b/>
      <i/>
      <sz val="8"/>
      <color theme="1"/>
      <name val="Algerian"/>
      <family val="5"/>
    </font>
    <font>
      <sz val="8"/>
      <color theme="1"/>
      <name val="Castellar"/>
      <family val="1"/>
    </font>
    <font>
      <i/>
      <u/>
      <sz val="8"/>
      <color theme="1"/>
      <name val="Calibri"/>
      <family val="2"/>
      <charset val="204"/>
      <scheme val="minor"/>
    </font>
    <font>
      <sz val="8"/>
      <color theme="0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b/>
      <sz val="14"/>
      <name val="Calibri"/>
      <family val="2"/>
      <charset val="204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39997558519241921"/>
        <bgColor indexed="64"/>
      </patternFill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5">
    <xf numFmtId="0" fontId="0" fillId="0" borderId="0"/>
    <xf numFmtId="0" fontId="1" fillId="0" borderId="0" applyNumberFormat="0" applyFill="0" applyBorder="0" applyAlignment="0" applyProtection="0"/>
    <xf numFmtId="0" fontId="2" fillId="0" borderId="0"/>
    <xf numFmtId="0" fontId="11" fillId="0" borderId="0"/>
    <xf numFmtId="43" fontId="15" fillId="0" borderId="0" applyFont="0" applyFill="0" applyBorder="0" applyAlignment="0" applyProtection="0"/>
  </cellStyleXfs>
  <cellXfs count="81">
    <xf numFmtId="0" fontId="0" fillId="0" borderId="0" xfId="0"/>
    <xf numFmtId="0" fontId="3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0" fontId="10" fillId="0" borderId="1" xfId="0" applyFont="1" applyBorder="1" applyAlignment="1">
      <alignment horizontal="center" vertical="center" wrapText="1"/>
    </xf>
    <xf numFmtId="0" fontId="10" fillId="0" borderId="0" xfId="0" applyFont="1"/>
    <xf numFmtId="0" fontId="12" fillId="0" borderId="1" xfId="0" applyFont="1" applyBorder="1" applyAlignment="1">
      <alignment horizontal="center" vertical="center" wrapText="1"/>
    </xf>
    <xf numFmtId="0" fontId="14" fillId="2" borderId="1" xfId="0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13" fillId="2" borderId="1" xfId="0" applyFont="1" applyFill="1" applyBorder="1" applyAlignment="1">
      <alignment horizontal="center" vertical="center" wrapText="1"/>
    </xf>
    <xf numFmtId="49" fontId="17" fillId="4" borderId="1" xfId="0" applyNumberFormat="1" applyFont="1" applyFill="1" applyBorder="1" applyAlignment="1">
      <alignment horizontal="center" vertical="center" wrapText="1"/>
    </xf>
    <xf numFmtId="49" fontId="18" fillId="2" borderId="1" xfId="0" applyNumberFormat="1" applyFont="1" applyFill="1" applyBorder="1" applyAlignment="1">
      <alignment horizontal="center" vertical="center" wrapText="1"/>
    </xf>
    <xf numFmtId="0" fontId="18" fillId="2" borderId="1" xfId="0" applyFont="1" applyFill="1" applyBorder="1" applyAlignment="1">
      <alignment horizontal="center" vertical="center" wrapText="1"/>
    </xf>
    <xf numFmtId="49" fontId="18" fillId="0" borderId="1" xfId="0" applyNumberFormat="1" applyFont="1" applyBorder="1" applyAlignment="1">
      <alignment horizontal="center" vertical="center" wrapText="1"/>
    </xf>
    <xf numFmtId="0" fontId="20" fillId="2" borderId="1" xfId="0" applyFont="1" applyFill="1" applyBorder="1" applyAlignment="1">
      <alignment horizontal="center" vertical="center" wrapText="1"/>
    </xf>
    <xf numFmtId="0" fontId="21" fillId="2" borderId="1" xfId="0" applyFont="1" applyFill="1" applyBorder="1" applyAlignment="1">
      <alignment horizontal="center" vertical="center" wrapText="1"/>
    </xf>
    <xf numFmtId="49" fontId="19" fillId="0" borderId="1" xfId="1" applyNumberFormat="1" applyFont="1" applyFill="1" applyBorder="1" applyAlignment="1">
      <alignment horizontal="center" vertical="center" wrapText="1"/>
    </xf>
    <xf numFmtId="0" fontId="20" fillId="0" borderId="4" xfId="0" applyFont="1" applyBorder="1" applyAlignment="1">
      <alignment horizontal="center" vertical="center" wrapText="1"/>
    </xf>
    <xf numFmtId="0" fontId="21" fillId="0" borderId="4" xfId="0" applyFont="1" applyBorder="1" applyAlignment="1">
      <alignment horizontal="center" vertical="center" wrapText="1"/>
    </xf>
    <xf numFmtId="0" fontId="18" fillId="0" borderId="4" xfId="0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center" wrapText="1"/>
    </xf>
    <xf numFmtId="0" fontId="20" fillId="0" borderId="1" xfId="0" applyFont="1" applyBorder="1" applyAlignment="1">
      <alignment horizontal="center" vertical="center" wrapText="1"/>
    </xf>
    <xf numFmtId="0" fontId="18" fillId="0" borderId="1" xfId="0" applyFont="1" applyBorder="1" applyAlignment="1">
      <alignment horizontal="center" vertical="center" wrapText="1"/>
    </xf>
    <xf numFmtId="0" fontId="22" fillId="0" borderId="1" xfId="0" applyFont="1" applyBorder="1" applyAlignment="1">
      <alignment horizontal="center" vertical="center" wrapText="1"/>
    </xf>
    <xf numFmtId="49" fontId="5" fillId="0" borderId="1" xfId="0" applyNumberFormat="1" applyFont="1" applyFill="1" applyBorder="1" applyAlignment="1" applyProtection="1">
      <alignment horizontal="center" vertical="center" wrapText="1"/>
    </xf>
    <xf numFmtId="0" fontId="5" fillId="0" borderId="3" xfId="0" applyFont="1" applyBorder="1" applyAlignment="1">
      <alignment horizontal="center" vertical="center" wrapText="1"/>
    </xf>
    <xf numFmtId="0" fontId="5" fillId="0" borderId="1" xfId="2" applyFont="1" applyBorder="1" applyAlignment="1">
      <alignment horizontal="center" vertical="center" wrapText="1"/>
    </xf>
    <xf numFmtId="0" fontId="23" fillId="0" borderId="1" xfId="0" applyFont="1" applyBorder="1" applyAlignment="1">
      <alignment horizontal="center" vertical="center" wrapText="1"/>
    </xf>
    <xf numFmtId="0" fontId="17" fillId="4" borderId="1" xfId="0" applyNumberFormat="1" applyFont="1" applyFill="1" applyBorder="1" applyAlignment="1">
      <alignment horizontal="center" vertical="center" wrapText="1"/>
    </xf>
    <xf numFmtId="0" fontId="13" fillId="2" borderId="1" xfId="0" applyNumberFormat="1" applyFont="1" applyFill="1" applyBorder="1" applyAlignment="1">
      <alignment horizontal="center" vertical="center" wrapText="1"/>
    </xf>
    <xf numFmtId="0" fontId="18" fillId="0" borderId="1" xfId="0" applyNumberFormat="1" applyFont="1" applyBorder="1" applyAlignment="1">
      <alignment horizontal="center" vertical="center" wrapText="1"/>
    </xf>
    <xf numFmtId="0" fontId="18" fillId="0" borderId="4" xfId="0" applyNumberFormat="1" applyFont="1" applyBorder="1" applyAlignment="1">
      <alignment horizontal="center" vertical="center" wrapText="1"/>
    </xf>
    <xf numFmtId="0" fontId="5" fillId="0" borderId="1" xfId="0" applyNumberFormat="1" applyFont="1" applyFill="1" applyBorder="1" applyAlignment="1" applyProtection="1">
      <alignment horizontal="center" vertical="center" wrapText="1"/>
    </xf>
    <xf numFmtId="0" fontId="23" fillId="0" borderId="1" xfId="0" applyNumberFormat="1" applyFont="1" applyBorder="1" applyAlignment="1">
      <alignment horizontal="center" vertical="center" wrapText="1"/>
    </xf>
    <xf numFmtId="0" fontId="10" fillId="0" borderId="1" xfId="0" applyNumberFormat="1" applyFont="1" applyBorder="1" applyAlignment="1">
      <alignment horizontal="center" vertical="center" wrapText="1"/>
    </xf>
    <xf numFmtId="0" fontId="24" fillId="0" borderId="1" xfId="0" applyNumberFormat="1" applyFont="1" applyBorder="1" applyAlignment="1">
      <alignment horizontal="center" vertical="center" wrapText="1"/>
    </xf>
    <xf numFmtId="0" fontId="0" fillId="5" borderId="1" xfId="0" applyFill="1" applyBorder="1" applyAlignment="1">
      <alignment wrapText="1"/>
    </xf>
    <xf numFmtId="49" fontId="25" fillId="4" borderId="1" xfId="0" applyNumberFormat="1" applyFont="1" applyFill="1" applyBorder="1" applyAlignment="1">
      <alignment horizontal="center" vertical="center" wrapText="1"/>
    </xf>
    <xf numFmtId="0" fontId="1" fillId="2" borderId="1" xfId="1" applyFill="1" applyBorder="1" applyAlignment="1">
      <alignment horizontal="center" vertical="center" wrapText="1"/>
    </xf>
    <xf numFmtId="0" fontId="0" fillId="0" borderId="0" xfId="0" applyFill="1"/>
    <xf numFmtId="0" fontId="16" fillId="0" borderId="0" xfId="0" applyFont="1" applyFill="1"/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wrapText="1"/>
    </xf>
    <xf numFmtId="43" fontId="0" fillId="0" borderId="0" xfId="4" applyFont="1" applyFill="1" applyAlignment="1">
      <alignment wrapText="1"/>
    </xf>
    <xf numFmtId="49" fontId="0" fillId="0" borderId="0" xfId="0" applyNumberFormat="1" applyFill="1"/>
    <xf numFmtId="2" fontId="0" fillId="0" borderId="0" xfId="0" applyNumberFormat="1" applyFill="1"/>
    <xf numFmtId="0" fontId="21" fillId="2" borderId="5" xfId="0" applyFont="1" applyFill="1" applyBorder="1" applyAlignment="1">
      <alignment horizontal="center" vertical="center" wrapText="1"/>
    </xf>
    <xf numFmtId="0" fontId="21" fillId="2" borderId="6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vertical="center" wrapText="1"/>
    </xf>
    <xf numFmtId="0" fontId="0" fillId="0" borderId="1" xfId="0" applyBorder="1" applyAlignment="1">
      <alignment vertical="center" wrapText="1"/>
    </xf>
    <xf numFmtId="49" fontId="26" fillId="4" borderId="1" xfId="0" applyNumberFormat="1" applyFont="1" applyFill="1" applyBorder="1" applyAlignment="1">
      <alignment horizontal="center" vertical="center" wrapText="1"/>
    </xf>
    <xf numFmtId="49" fontId="25" fillId="4" borderId="4" xfId="0" applyNumberFormat="1" applyFont="1" applyFill="1" applyBorder="1" applyAlignment="1">
      <alignment horizontal="center" vertical="center" wrapText="1"/>
    </xf>
    <xf numFmtId="0" fontId="4" fillId="2" borderId="1" xfId="0" applyFont="1" applyFill="1" applyBorder="1" applyAlignment="1">
      <alignment horizontal="center" wrapText="1"/>
    </xf>
    <xf numFmtId="0" fontId="7" fillId="2" borderId="1" xfId="0" applyNumberFormat="1" applyFont="1" applyFill="1" applyBorder="1" applyAlignment="1">
      <alignment horizontal="center" wrapText="1"/>
    </xf>
    <xf numFmtId="0" fontId="9" fillId="2" borderId="1" xfId="0" applyFont="1" applyFill="1" applyBorder="1" applyAlignment="1">
      <alignment horizontal="center" wrapText="1"/>
    </xf>
    <xf numFmtId="0" fontId="6" fillId="4" borderId="1" xfId="0" applyFont="1" applyFill="1" applyBorder="1" applyAlignment="1">
      <alignment horizontal="center" wrapText="1"/>
    </xf>
    <xf numFmtId="0" fontId="4" fillId="0" borderId="0" xfId="0" applyFont="1" applyBorder="1" applyAlignment="1">
      <alignment horizontal="center" wrapText="1"/>
    </xf>
    <xf numFmtId="0" fontId="4" fillId="0" borderId="1" xfId="0" applyFont="1" applyBorder="1" applyAlignment="1">
      <alignment horizontal="center" wrapText="1"/>
    </xf>
    <xf numFmtId="0" fontId="1" fillId="0" borderId="1" xfId="1" applyBorder="1" applyAlignment="1">
      <alignment horizontal="center" wrapText="1"/>
    </xf>
    <xf numFmtId="0" fontId="6" fillId="0" borderId="0" xfId="0" applyFont="1" applyBorder="1" applyAlignment="1">
      <alignment horizontal="center" wrapText="1"/>
    </xf>
    <xf numFmtId="0" fontId="1" fillId="0" borderId="1" xfId="1" applyNumberFormat="1" applyBorder="1" applyAlignment="1">
      <alignment horizontal="center" wrapText="1"/>
    </xf>
    <xf numFmtId="0" fontId="1" fillId="0" borderId="1" xfId="1" applyFill="1" applyBorder="1" applyAlignment="1">
      <alignment horizontal="center" wrapText="1"/>
    </xf>
    <xf numFmtId="0" fontId="4" fillId="0" borderId="0" xfId="0" applyFont="1" applyAlignment="1">
      <alignment horizontal="center" wrapText="1"/>
    </xf>
    <xf numFmtId="0" fontId="1" fillId="0" borderId="1" xfId="1" applyNumberFormat="1" applyFill="1" applyBorder="1" applyAlignment="1">
      <alignment horizontal="center" wrapText="1"/>
    </xf>
    <xf numFmtId="0" fontId="6" fillId="0" borderId="0" xfId="0" applyFont="1" applyFill="1" applyBorder="1" applyAlignment="1">
      <alignment horizontal="center" wrapText="1"/>
    </xf>
    <xf numFmtId="0" fontId="4" fillId="0" borderId="0" xfId="0" applyFont="1" applyFill="1" applyBorder="1" applyAlignment="1">
      <alignment horizontal="center" wrapText="1"/>
    </xf>
    <xf numFmtId="0" fontId="4" fillId="0" borderId="0" xfId="0" applyFont="1" applyFill="1" applyAlignment="1">
      <alignment horizontal="center" wrapText="1"/>
    </xf>
    <xf numFmtId="0" fontId="5" fillId="0" borderId="1" xfId="0" applyNumberFormat="1" applyFont="1" applyFill="1" applyBorder="1" applyAlignment="1">
      <alignment horizontal="center" wrapText="1"/>
    </xf>
    <xf numFmtId="0" fontId="5" fillId="0" borderId="1" xfId="0" applyFont="1" applyFill="1" applyBorder="1" applyAlignment="1">
      <alignment horizontal="center" wrapText="1"/>
    </xf>
    <xf numFmtId="0" fontId="5" fillId="0" borderId="1" xfId="0" applyNumberFormat="1" applyFont="1" applyBorder="1" applyAlignment="1">
      <alignment horizontal="center" wrapText="1"/>
    </xf>
    <xf numFmtId="0" fontId="5" fillId="0" borderId="1" xfId="0" applyFont="1" applyBorder="1" applyAlignment="1">
      <alignment horizontal="center" wrapText="1"/>
    </xf>
    <xf numFmtId="0" fontId="0" fillId="3" borderId="0" xfId="0" applyFill="1"/>
    <xf numFmtId="0" fontId="1" fillId="3" borderId="0" xfId="1" applyFill="1" applyAlignment="1">
      <alignment wrapText="1"/>
    </xf>
    <xf numFmtId="0" fontId="1" fillId="3" borderId="0" xfId="1" applyNumberFormat="1" applyFill="1" applyAlignment="1">
      <alignment horizontal="center" wrapText="1"/>
    </xf>
    <xf numFmtId="0" fontId="1" fillId="3" borderId="1" xfId="1" applyFill="1" applyBorder="1" applyAlignment="1">
      <alignment horizontal="center" wrapText="1"/>
    </xf>
    <xf numFmtId="0" fontId="27" fillId="3" borderId="2" xfId="0" applyFont="1" applyFill="1" applyBorder="1" applyAlignment="1">
      <alignment horizontal="center" vertical="center" wrapText="1"/>
    </xf>
    <xf numFmtId="0" fontId="27" fillId="3" borderId="1" xfId="0" applyFont="1" applyFill="1" applyBorder="1" applyAlignment="1">
      <alignment horizontal="center" vertical="center" wrapText="1"/>
    </xf>
    <xf numFmtId="22" fontId="24" fillId="0" borderId="1" xfId="0" applyNumberFormat="1" applyFont="1" applyBorder="1" applyAlignment="1">
      <alignment horizontal="center" vertical="center" wrapText="1"/>
    </xf>
    <xf numFmtId="0" fontId="27" fillId="6" borderId="1" xfId="0" applyNumberFormat="1" applyFont="1" applyFill="1" applyBorder="1" applyAlignment="1">
      <alignment horizontal="center" vertical="center" wrapText="1"/>
    </xf>
  </cellXfs>
  <cellStyles count="5">
    <cellStyle name="Гиперссылка" xfId="1" builtinId="8"/>
    <cellStyle name="Обычный" xfId="0" builtinId="0"/>
    <cellStyle name="Обычный 2" xfId="2"/>
    <cellStyle name="Обычный 3" xfId="3"/>
    <cellStyle name="Финансовый" xfId="4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Drop" dropLines="20" dropStyle="combo" dx="16" fmlaLink="$K$2" fmlaRange="список_няш!$A$2:$A$51" noThreeD="1" sel="44" val="3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9525</xdr:rowOff>
        </xdr:from>
        <xdr:to>
          <xdr:col>4</xdr:col>
          <xdr:colOff>0</xdr:colOff>
          <xdr:row>1</xdr:row>
          <xdr:rowOff>476250</xdr:rowOff>
        </xdr:to>
        <xdr:sp macro="" textlink="">
          <xdr:nvSpPr>
            <xdr:cNvPr id="2049" name="Drop Dow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file:///\\Files\share\&#1054;&#1090;&#1076;&#1077;&#1083;%20&#1074;&#1077;&#1076;&#1077;&#1085;&#1080;&#1103;%20&#1088;&#1077;&#1077;&#1089;&#1090;&#1088;&#1072;%20&#1084;&#1077;&#1076;&#1080;&#1094;&#1080;&#1085;&#1089;&#1082;&#1086;&#1075;&#1086;%20&#1086;&#1073;&#1086;&#1088;&#1091;&#1076;&#1086;&#1074;&#1072;&#1085;&#1080;&#1103;\&#1043;&#1088;&#1091;&#1087;&#1087;&#1072;%20&#1089;&#1087;&#1080;&#1089;&#1072;&#1085;&#1080;&#1103;\&#1041;&#1086;&#1083;&#1100;&#1085;&#1080;&#1094;&#1099;%20&#1058;&#1047;\&#1040;&#1082;&#1080;&#1084;%20&#1048;&#1076;&#1088;&#1080;&#1089;&#1086;&#1074;\&#1052;&#1053;&#1055;&#1062;_&#1052;&#1056;&#1042;&#1057;&#1052;\&#1055;&#1054;&#1044;&#1043;&#1054;&#1058;&#1054;&#1042;&#1051;&#1045;&#1053;&#1054;_2023_09_06\pravkiLPU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">
    <tabColor rgb="FFFFC000"/>
  </sheetPr>
  <dimension ref="A1:L49"/>
  <sheetViews>
    <sheetView zoomScale="115" zoomScaleNormal="115" zoomScaleSheetLayoutView="115" workbookViewId="0">
      <selection activeCell="F10" sqref="F10"/>
    </sheetView>
  </sheetViews>
  <sheetFormatPr defaultColWidth="7.42578125" defaultRowHeight="18.75" x14ac:dyDescent="0.3"/>
  <cols>
    <col min="1" max="1" width="12.85546875" style="35" bestFit="1" customWidth="1"/>
    <col min="2" max="2" width="6.7109375" style="5" customWidth="1"/>
    <col min="3" max="3" width="17.85546875" style="5" bestFit="1" customWidth="1"/>
    <col min="4" max="4" width="33.42578125" style="35" customWidth="1"/>
    <col min="5" max="5" width="25.7109375" style="5" customWidth="1"/>
    <col min="6" max="6" width="22.140625" style="5" customWidth="1"/>
    <col min="7" max="7" width="11.28515625" style="5" customWidth="1"/>
    <col min="8" max="8" width="33.7109375" style="5" customWidth="1"/>
    <col min="9" max="9" width="15" style="38" bestFit="1" customWidth="1"/>
    <col min="10" max="10" width="29.140625" style="7" bestFit="1" customWidth="1"/>
    <col min="11" max="11" width="3.42578125" style="6" hidden="1" customWidth="1"/>
    <col min="12" max="16384" width="7.42578125" style="6"/>
  </cols>
  <sheetData>
    <row r="1" spans="1:12" customFormat="1" ht="30" x14ac:dyDescent="0.25">
      <c r="A1" s="11" t="s">
        <v>6</v>
      </c>
      <c r="B1" s="11" t="s">
        <v>7</v>
      </c>
      <c r="C1" s="11" t="s">
        <v>77</v>
      </c>
      <c r="D1" s="29" t="s">
        <v>10</v>
      </c>
      <c r="E1" s="11" t="s">
        <v>9</v>
      </c>
      <c r="F1" s="11" t="s">
        <v>101</v>
      </c>
      <c r="G1" s="11" t="s">
        <v>100</v>
      </c>
      <c r="H1" s="11" t="s">
        <v>8</v>
      </c>
      <c r="I1" s="52" t="s">
        <v>65</v>
      </c>
      <c r="J1" s="11" t="s">
        <v>23</v>
      </c>
      <c r="K1" s="11"/>
    </row>
    <row r="2" spans="1:12" s="9" customFormat="1" ht="37.5" customHeight="1" x14ac:dyDescent="0.25">
      <c r="A2" s="12"/>
      <c r="B2" s="13"/>
      <c r="C2" s="13" t="s">
        <v>76</v>
      </c>
      <c r="D2" s="30" t="str">
        <f>INDEX(список_няш!A:A,K2+1)</f>
        <v>ГБУЗ "ГП № 209 ДЗМ"</v>
      </c>
      <c r="E2" s="10" t="str">
        <f ca="1">IF(INDIRECT(ADDRESS(MATCH(D2,список_няш!A:A,0),2,,,"список_няш"))&lt;&gt;0,INDIRECT(ADDRESS(MATCH(D2,список_няш!A:A,0),2,,,"список_няш")),"")</f>
        <v>главного врача Мацакяна А.М.</v>
      </c>
      <c r="F2" s="30" t="str">
        <f ca="1">IF(INDIRECT(ADDRESS(MATCH(D2,список_няш!A:A,0),3,,,"список_няш"))&lt;&gt;0,INDIRECT(ADDRESS(MATCH(D2,список_няш!A:A,0),3,,,"список_няш")),"")</f>
        <v>Главный врач</v>
      </c>
      <c r="G2" s="30" t="str">
        <f ca="1">IF(INDIRECT(ADDRESS(MATCH(D2,список_няш!A:A,0),4,,,"список_няш"))&lt;&gt;0,INDIRECT(ADDRESS(MATCH(D2,список_няш!A:A,0),4,,,"список_няш")),"")</f>
        <v/>
      </c>
      <c r="H2" s="30" t="str">
        <f ca="1">IF(INDIRECT(ADDRESS(MATCH(D2,список_няш!A:A,0),5,,,"список_няш"))&lt;&gt;0,INDIRECT(ADDRESS(MATCH(D2,список_няш!A:A,0),5,,,"список_няш")),"")</f>
        <v>Мацакян Артак Мацакович</v>
      </c>
      <c r="I2" s="38"/>
      <c r="J2" s="39" t="s">
        <v>134</v>
      </c>
      <c r="K2" s="37">
        <v>44</v>
      </c>
      <c r="L2" s="9">
        <f>K2+1</f>
        <v>45</v>
      </c>
    </row>
    <row r="3" spans="1:12" customFormat="1" ht="15" x14ac:dyDescent="0.25">
      <c r="A3" s="79">
        <f ca="1">NOW()</f>
        <v>45176.618861805553</v>
      </c>
      <c r="B3" s="15" t="s">
        <v>69</v>
      </c>
      <c r="C3" s="16" t="s">
        <v>71</v>
      </c>
      <c r="D3" s="31"/>
      <c r="E3" s="31"/>
      <c r="F3" s="23"/>
      <c r="G3" s="23"/>
      <c r="H3" s="23"/>
      <c r="I3" s="38"/>
      <c r="J3" s="17"/>
    </row>
    <row r="4" spans="1:12" customFormat="1" x14ac:dyDescent="0.25">
      <c r="A4" s="35"/>
      <c r="B4" s="15">
        <v>1</v>
      </c>
      <c r="C4" s="13" t="str">
        <f ca="1">IF(INDIRECT(ADDRESS(MATCH(D2,список_няш!A:A,0),6,,,"список_няш"))&lt;&gt;0,INDIRECT(ADDRESS(MATCH(D2,список_няш!A:A,0),6,,,"список_няш")),"")</f>
        <v/>
      </c>
      <c r="D4" s="31"/>
      <c r="E4" s="14"/>
      <c r="F4" s="23"/>
      <c r="G4" s="23"/>
      <c r="H4" s="23"/>
      <c r="I4" s="38"/>
      <c r="J4" s="17"/>
    </row>
    <row r="5" spans="1:12" customFormat="1" x14ac:dyDescent="0.25">
      <c r="A5" s="80" t="str">
        <f ca="1">TEXT(A3,"ДД")</f>
        <v>07</v>
      </c>
      <c r="B5" s="15">
        <v>2</v>
      </c>
      <c r="C5" s="13" t="str">
        <f ca="1">IF(INDIRECT(ADDRESS(MATCH(D2,список_няш!A:A,0),7,,,"список_няш"))&lt;&gt;0,INDIRECT(ADDRESS(MATCH(D2,список_няш!A:A,0),7,,,"список_няш")),"")</f>
        <v/>
      </c>
      <c r="D5" s="31"/>
      <c r="E5" s="14"/>
      <c r="F5" s="23"/>
      <c r="G5" s="23"/>
      <c r="H5" s="23"/>
      <c r="I5" s="38"/>
      <c r="J5" s="17"/>
    </row>
    <row r="6" spans="1:12" customFormat="1" x14ac:dyDescent="0.25">
      <c r="A6" s="80" t="str">
        <f ca="1">TEXT(A3,"ММММ")</f>
        <v>Сентябрь</v>
      </c>
      <c r="B6" s="15">
        <v>3</v>
      </c>
      <c r="C6" s="13" t="str">
        <f ca="1">IF(INDIRECT(ADDRESS(MATCH(D2,список_няш!A:A,0),8,,,"список_няш"))&lt;&gt;0,INDIRECT(ADDRESS(MATCH(D2,список_няш!A:A,0),8,,,"список_няш")),"")</f>
        <v/>
      </c>
      <c r="D6" s="31"/>
      <c r="E6" s="14"/>
      <c r="F6" s="23"/>
      <c r="G6" s="23"/>
      <c r="H6" s="23"/>
      <c r="I6" s="38"/>
      <c r="J6" s="17"/>
    </row>
    <row r="7" spans="1:12" customFormat="1" x14ac:dyDescent="0.25">
      <c r="A7" s="80" t="str">
        <f ca="1">TEXT(A3,"гггг")&amp;" г."</f>
        <v>2023 г.</v>
      </c>
      <c r="B7" s="15">
        <v>4</v>
      </c>
      <c r="C7" s="13" t="str">
        <f ca="1">IF(INDIRECT(ADDRESS(MATCH(D2,список_няш!A:A,0),9,,,"список_няш"))&lt;&gt;0,INDIRECT(ADDRESS(MATCH(D2,список_няш!A:A,0),9,,,"список_няш")),"")</f>
        <v/>
      </c>
      <c r="D7" s="31"/>
      <c r="E7" s="14"/>
      <c r="F7" s="23"/>
      <c r="G7" s="23"/>
      <c r="H7" s="23"/>
      <c r="I7" s="38"/>
      <c r="J7" s="17"/>
    </row>
    <row r="8" spans="1:12" customFormat="1" ht="15" x14ac:dyDescent="0.25">
      <c r="A8" s="31"/>
      <c r="B8" s="15">
        <v>5</v>
      </c>
      <c r="C8" s="13" t="str">
        <f ca="1">IF(INDIRECT(ADDRESS(MATCH(D2,список_няш!A:A,0),10,,,"список_няш"))&lt;&gt;0,INDIRECT(ADDRESS(MATCH(D2,список_няш!A:A,0),10,,,"список_няш")),"")</f>
        <v/>
      </c>
      <c r="D8" s="31"/>
      <c r="E8" s="14"/>
      <c r="F8" s="23"/>
      <c r="G8" s="23"/>
      <c r="H8" s="23"/>
      <c r="I8" s="38"/>
      <c r="J8" s="17"/>
    </row>
    <row r="9" spans="1:12" customFormat="1" ht="15" x14ac:dyDescent="0.25">
      <c r="A9" s="31"/>
      <c r="B9" s="15">
        <v>6</v>
      </c>
      <c r="C9" s="13" t="str">
        <f ca="1">IF(INDIRECT(ADDRESS(MATCH(D2,список_няш!A:A,0),11,,,"список_няш"))&lt;&gt;0,INDIRECT(ADDRESS(MATCH(D2,список_няш!A:A,0),11,,,"список_няш")),"")</f>
        <v/>
      </c>
      <c r="D9" s="36"/>
      <c r="E9" s="14"/>
      <c r="F9" s="14"/>
      <c r="G9" s="14"/>
      <c r="H9" s="14"/>
      <c r="I9" s="38"/>
      <c r="J9" s="17"/>
    </row>
    <row r="10" spans="1:12" x14ac:dyDescent="0.3">
      <c r="A10" s="32"/>
      <c r="B10" s="18"/>
      <c r="C10" s="19"/>
      <c r="D10" s="32"/>
      <c r="E10" s="21"/>
      <c r="F10" s="20"/>
      <c r="G10" s="20"/>
      <c r="H10" s="20"/>
      <c r="I10" s="53"/>
      <c r="J10" s="17"/>
    </row>
    <row r="11" spans="1:12" x14ac:dyDescent="0.3">
      <c r="A11" s="31"/>
      <c r="B11" s="22"/>
      <c r="C11" s="23"/>
      <c r="D11" s="31"/>
      <c r="E11" s="23"/>
      <c r="F11" s="14"/>
      <c r="G11" s="14"/>
      <c r="H11" s="23"/>
      <c r="J11" s="17"/>
    </row>
    <row r="12" spans="1:12" x14ac:dyDescent="0.3">
      <c r="A12" s="31"/>
      <c r="B12" s="22"/>
      <c r="C12" s="23"/>
      <c r="D12" s="31"/>
      <c r="E12" s="23"/>
      <c r="F12" s="23"/>
      <c r="G12" s="23"/>
      <c r="H12" s="23"/>
      <c r="J12" s="17"/>
    </row>
    <row r="13" spans="1:12" x14ac:dyDescent="0.3">
      <c r="A13" s="31"/>
      <c r="B13" s="22"/>
      <c r="C13" s="23"/>
      <c r="D13" s="31"/>
      <c r="E13" s="23"/>
      <c r="F13" s="23"/>
      <c r="G13" s="23"/>
      <c r="H13" s="23"/>
      <c r="J13" s="17"/>
    </row>
    <row r="14" spans="1:12" x14ac:dyDescent="0.3">
      <c r="A14" s="31"/>
      <c r="B14" s="22"/>
      <c r="C14" s="23"/>
      <c r="D14" s="31"/>
      <c r="E14" s="23"/>
      <c r="F14" s="23"/>
      <c r="G14" s="23"/>
      <c r="H14" s="23"/>
      <c r="J14" s="17"/>
    </row>
    <row r="15" spans="1:12" x14ac:dyDescent="0.3">
      <c r="A15" s="31"/>
      <c r="B15" s="22"/>
      <c r="C15" s="23"/>
      <c r="D15" s="31"/>
      <c r="E15" s="23"/>
      <c r="F15" s="14"/>
      <c r="G15" s="14"/>
      <c r="H15" s="23"/>
      <c r="J15" s="17"/>
    </row>
    <row r="16" spans="1:12" x14ac:dyDescent="0.3">
      <c r="A16" s="31"/>
      <c r="B16" s="22"/>
      <c r="C16" s="23"/>
      <c r="D16" s="31"/>
      <c r="E16" s="4"/>
      <c r="F16" s="14"/>
      <c r="G16" s="14"/>
      <c r="H16" s="23"/>
      <c r="J16" s="17"/>
    </row>
    <row r="17" spans="1:10" x14ac:dyDescent="0.3">
      <c r="A17" s="31"/>
      <c r="B17" s="24"/>
      <c r="C17" s="23"/>
      <c r="D17" s="31"/>
      <c r="E17" s="23"/>
      <c r="F17" s="4"/>
      <c r="G17" s="4"/>
      <c r="H17" s="23"/>
      <c r="J17" s="17"/>
    </row>
    <row r="18" spans="1:10" x14ac:dyDescent="0.3">
      <c r="A18" s="31"/>
      <c r="B18" s="23"/>
      <c r="C18" s="23"/>
      <c r="D18" s="31"/>
      <c r="E18" s="23"/>
      <c r="F18" s="14"/>
      <c r="G18" s="14"/>
      <c r="H18" s="23"/>
      <c r="J18" s="4"/>
    </row>
    <row r="19" spans="1:10" x14ac:dyDescent="0.3">
      <c r="A19" s="31"/>
      <c r="B19" s="23"/>
      <c r="C19" s="23"/>
      <c r="D19" s="31"/>
      <c r="E19" s="23"/>
      <c r="F19" s="23"/>
      <c r="G19" s="23"/>
      <c r="H19" s="23"/>
      <c r="J19" s="4"/>
    </row>
    <row r="20" spans="1:10" x14ac:dyDescent="0.3">
      <c r="A20" s="31"/>
      <c r="B20" s="23"/>
      <c r="C20" s="23"/>
      <c r="D20" s="31"/>
      <c r="E20" s="23"/>
      <c r="F20" s="14"/>
      <c r="G20" s="14"/>
      <c r="H20" s="23"/>
      <c r="J20" s="4"/>
    </row>
    <row r="21" spans="1:10" x14ac:dyDescent="0.3">
      <c r="A21" s="31"/>
      <c r="B21" s="23"/>
      <c r="C21" s="23"/>
      <c r="D21" s="31"/>
      <c r="E21" s="23"/>
      <c r="F21" s="23"/>
      <c r="G21" s="23"/>
      <c r="H21" s="23"/>
      <c r="J21" s="4"/>
    </row>
    <row r="22" spans="1:10" x14ac:dyDescent="0.3">
      <c r="A22" s="31"/>
      <c r="B22" s="23"/>
      <c r="C22" s="23"/>
      <c r="D22" s="31"/>
      <c r="E22" s="23"/>
      <c r="F22" s="4"/>
      <c r="G22" s="4"/>
      <c r="H22" s="23"/>
      <c r="J22" s="4"/>
    </row>
    <row r="23" spans="1:10" x14ac:dyDescent="0.3">
      <c r="A23" s="31"/>
      <c r="B23" s="23"/>
      <c r="C23" s="23"/>
      <c r="D23" s="31"/>
      <c r="E23" s="23"/>
      <c r="F23" s="4"/>
      <c r="G23" s="4"/>
      <c r="H23" s="23"/>
      <c r="J23" s="4"/>
    </row>
    <row r="24" spans="1:10" x14ac:dyDescent="0.3">
      <c r="A24" s="31"/>
      <c r="B24" s="23"/>
      <c r="C24" s="23"/>
      <c r="D24" s="31"/>
      <c r="E24" s="23"/>
      <c r="F24" s="23"/>
      <c r="G24" s="23"/>
      <c r="H24" s="23"/>
      <c r="J24" s="4"/>
    </row>
    <row r="25" spans="1:10" x14ac:dyDescent="0.3">
      <c r="A25" s="31"/>
      <c r="B25" s="23"/>
      <c r="C25" s="23"/>
      <c r="D25" s="31"/>
      <c r="E25" s="23"/>
      <c r="F25" s="23"/>
      <c r="G25" s="23"/>
      <c r="H25" s="23"/>
      <c r="J25" s="4"/>
    </row>
    <row r="26" spans="1:10" x14ac:dyDescent="0.3">
      <c r="A26" s="31"/>
      <c r="B26" s="23"/>
      <c r="C26" s="23"/>
      <c r="D26" s="31"/>
      <c r="E26" s="23"/>
      <c r="F26" s="23"/>
      <c r="G26" s="23"/>
      <c r="H26" s="23"/>
      <c r="J26" s="4"/>
    </row>
    <row r="27" spans="1:10" x14ac:dyDescent="0.3">
      <c r="A27" s="31"/>
      <c r="B27" s="23"/>
      <c r="C27" s="23"/>
      <c r="D27" s="31"/>
      <c r="E27" s="23"/>
      <c r="F27" s="23"/>
      <c r="G27" s="23"/>
      <c r="H27" s="23"/>
      <c r="J27" s="4"/>
    </row>
    <row r="28" spans="1:10" x14ac:dyDescent="0.3">
      <c r="A28" s="31"/>
      <c r="B28" s="23"/>
      <c r="C28" s="23"/>
      <c r="D28" s="31"/>
      <c r="E28" s="23"/>
      <c r="F28" s="23"/>
      <c r="G28" s="23"/>
      <c r="H28" s="23"/>
      <c r="J28" s="4"/>
    </row>
    <row r="29" spans="1:10" x14ac:dyDescent="0.3">
      <c r="A29" s="31"/>
      <c r="B29" s="23"/>
      <c r="C29" s="23"/>
      <c r="D29" s="31"/>
      <c r="E29" s="31"/>
      <c r="F29" s="31"/>
      <c r="G29" s="31"/>
      <c r="H29" s="31"/>
      <c r="J29" s="4"/>
    </row>
    <row r="30" spans="1:10" x14ac:dyDescent="0.3">
      <c r="A30" s="31"/>
      <c r="B30" s="23"/>
      <c r="C30" s="23"/>
      <c r="D30" s="31"/>
      <c r="E30" s="31"/>
      <c r="F30" s="31"/>
      <c r="G30" s="31"/>
      <c r="H30" s="31"/>
      <c r="J30" s="4"/>
    </row>
    <row r="31" spans="1:10" x14ac:dyDescent="0.3">
      <c r="A31" s="31"/>
      <c r="B31" s="23"/>
      <c r="C31" s="23"/>
      <c r="D31" s="31"/>
      <c r="E31" s="31"/>
      <c r="F31" s="31"/>
      <c r="G31" s="31"/>
      <c r="H31" s="31"/>
      <c r="J31" s="4"/>
    </row>
    <row r="32" spans="1:10" x14ac:dyDescent="0.3">
      <c r="A32" s="31"/>
      <c r="B32" s="23"/>
      <c r="C32" s="23"/>
      <c r="D32" s="31"/>
      <c r="E32" s="31"/>
      <c r="F32" s="31"/>
      <c r="G32" s="31"/>
      <c r="H32" s="31"/>
      <c r="J32" s="4"/>
    </row>
    <row r="33" spans="1:10" x14ac:dyDescent="0.3">
      <c r="A33" s="31"/>
      <c r="B33" s="23"/>
      <c r="C33" s="23"/>
      <c r="D33" s="31"/>
      <c r="E33" s="31"/>
      <c r="F33" s="31"/>
      <c r="G33" s="31"/>
      <c r="H33" s="31"/>
      <c r="J33" s="4"/>
    </row>
    <row r="34" spans="1:10" x14ac:dyDescent="0.3">
      <c r="A34" s="31"/>
      <c r="B34" s="23"/>
      <c r="C34" s="23"/>
      <c r="D34" s="31"/>
      <c r="E34" s="31"/>
      <c r="F34" s="31"/>
      <c r="G34" s="31"/>
      <c r="H34" s="31"/>
      <c r="J34" s="4"/>
    </row>
    <row r="35" spans="1:10" x14ac:dyDescent="0.3">
      <c r="A35" s="31"/>
      <c r="B35" s="23"/>
      <c r="C35" s="23"/>
      <c r="D35" s="31"/>
      <c r="E35" s="31"/>
      <c r="F35" s="31"/>
      <c r="G35" s="31"/>
      <c r="H35" s="31"/>
      <c r="J35" s="4"/>
    </row>
    <row r="36" spans="1:10" x14ac:dyDescent="0.3">
      <c r="A36" s="31"/>
      <c r="B36" s="23"/>
      <c r="C36" s="23"/>
      <c r="D36" s="31"/>
      <c r="E36" s="31"/>
      <c r="F36" s="31"/>
      <c r="G36" s="31"/>
      <c r="H36" s="31"/>
      <c r="J36" s="4"/>
    </row>
    <row r="37" spans="1:10" x14ac:dyDescent="0.3">
      <c r="A37" s="31"/>
      <c r="B37" s="23"/>
      <c r="C37" s="23"/>
      <c r="D37" s="33"/>
      <c r="E37" s="31"/>
      <c r="F37" s="31"/>
      <c r="G37" s="31"/>
      <c r="H37" s="31"/>
      <c r="J37" s="26"/>
    </row>
    <row r="38" spans="1:10" x14ac:dyDescent="0.3">
      <c r="A38" s="31"/>
      <c r="B38" s="23"/>
      <c r="C38" s="23"/>
      <c r="D38" s="31"/>
      <c r="E38" s="31"/>
      <c r="F38" s="31"/>
      <c r="G38" s="31"/>
      <c r="H38" s="31"/>
      <c r="J38" s="4"/>
    </row>
    <row r="39" spans="1:10" x14ac:dyDescent="0.3">
      <c r="A39" s="31"/>
      <c r="B39" s="23"/>
      <c r="C39" s="23"/>
      <c r="D39" s="31"/>
      <c r="E39" s="31"/>
      <c r="F39" s="31"/>
      <c r="G39" s="31"/>
      <c r="H39" s="31"/>
      <c r="J39" s="4"/>
    </row>
    <row r="40" spans="1:10" x14ac:dyDescent="0.3">
      <c r="A40" s="31"/>
      <c r="B40" s="23"/>
      <c r="C40" s="23"/>
      <c r="D40" s="31"/>
      <c r="E40" s="31"/>
      <c r="F40" s="31"/>
      <c r="G40" s="31"/>
      <c r="H40" s="31"/>
      <c r="J40" s="4"/>
    </row>
    <row r="41" spans="1:10" x14ac:dyDescent="0.3">
      <c r="A41" s="31"/>
      <c r="B41" s="23"/>
      <c r="C41" s="23"/>
      <c r="D41" s="31"/>
      <c r="E41" s="31"/>
      <c r="F41" s="31"/>
      <c r="G41" s="31"/>
      <c r="H41" s="31"/>
      <c r="J41" s="4"/>
    </row>
    <row r="42" spans="1:10" x14ac:dyDescent="0.3">
      <c r="A42" s="31"/>
      <c r="B42" s="23"/>
      <c r="C42" s="23"/>
      <c r="D42" s="31"/>
      <c r="E42" s="31"/>
      <c r="F42" s="31"/>
      <c r="G42" s="31"/>
      <c r="H42" s="31"/>
      <c r="J42" s="4"/>
    </row>
    <row r="43" spans="1:10" x14ac:dyDescent="0.3">
      <c r="A43" s="31"/>
      <c r="B43" s="23"/>
      <c r="C43" s="23"/>
      <c r="D43" s="34"/>
      <c r="E43" s="31"/>
      <c r="F43" s="31"/>
      <c r="G43" s="31"/>
      <c r="H43" s="31"/>
      <c r="J43" s="4"/>
    </row>
    <row r="44" spans="1:10" x14ac:dyDescent="0.3">
      <c r="A44" s="31"/>
      <c r="B44" s="23"/>
      <c r="C44" s="23"/>
      <c r="D44" s="34"/>
      <c r="E44" s="28"/>
      <c r="F44" s="28"/>
      <c r="G44" s="28"/>
      <c r="H44" s="28"/>
      <c r="J44" s="4"/>
    </row>
    <row r="45" spans="1:10" x14ac:dyDescent="0.3">
      <c r="A45" s="31"/>
      <c r="B45" s="23"/>
      <c r="C45" s="23"/>
      <c r="D45" s="31"/>
      <c r="E45" s="23"/>
      <c r="F45" s="23"/>
      <c r="G45" s="23"/>
      <c r="H45" s="23"/>
      <c r="J45" s="4"/>
    </row>
    <row r="46" spans="1:10" x14ac:dyDescent="0.3">
      <c r="A46" s="31"/>
      <c r="B46" s="23"/>
      <c r="C46" s="23"/>
      <c r="D46" s="31"/>
      <c r="E46" s="23"/>
      <c r="F46" s="4"/>
      <c r="G46" s="4"/>
      <c r="H46" s="23"/>
      <c r="J46" s="4"/>
    </row>
    <row r="47" spans="1:10" x14ac:dyDescent="0.3">
      <c r="A47" s="31"/>
      <c r="B47" s="23"/>
      <c r="C47" s="23"/>
      <c r="D47" s="31"/>
      <c r="E47" s="23"/>
      <c r="F47" s="23"/>
      <c r="G47" s="23"/>
      <c r="H47" s="23"/>
      <c r="J47" s="4"/>
    </row>
    <row r="48" spans="1:10" x14ac:dyDescent="0.3">
      <c r="A48" s="31"/>
      <c r="B48" s="23"/>
      <c r="C48" s="23"/>
      <c r="D48" s="31"/>
      <c r="E48" s="23"/>
      <c r="F48" s="23"/>
      <c r="G48" s="23"/>
      <c r="H48" s="23"/>
      <c r="J48" s="4"/>
    </row>
    <row r="49" spans="1:10" x14ac:dyDescent="0.3">
      <c r="A49" s="31"/>
      <c r="B49" s="23"/>
      <c r="C49" s="23"/>
      <c r="D49" s="31"/>
      <c r="E49" s="23"/>
      <c r="F49" s="23"/>
      <c r="G49" s="23"/>
      <c r="H49" s="23"/>
      <c r="J49" s="4"/>
    </row>
  </sheetData>
  <sheetProtection formatCells="0"/>
  <pageMargins left="0.7" right="0.7" top="0.75" bottom="0.75" header="0.3" footer="0.3"/>
  <pageSetup paperSize="9" scale="4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Drop Down 1">
              <controlPr defaultSize="0" autoLine="0" autoPict="0">
                <anchor moveWithCells="1" sizeWithCells="1">
                  <from>
                    <xdr:col>3</xdr:col>
                    <xdr:colOff>0</xdr:colOff>
                    <xdr:row>1</xdr:row>
                    <xdr:rowOff>9525</xdr:rowOff>
                  </from>
                  <to>
                    <xdr:col>4</xdr:col>
                    <xdr:colOff>0</xdr:colOff>
                    <xdr:row>1</xdr:row>
                    <xdr:rowOff>476250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K137"/>
  <sheetViews>
    <sheetView topLeftCell="A34" zoomScale="145" zoomScaleNormal="145" workbookViewId="0">
      <selection activeCell="B44" sqref="B44"/>
    </sheetView>
  </sheetViews>
  <sheetFormatPr defaultColWidth="29.28515625" defaultRowHeight="15" x14ac:dyDescent="0.25"/>
  <cols>
    <col min="1" max="1" width="34.42578125" style="51" bestFit="1" customWidth="1"/>
    <col min="2" max="2" width="34.140625" style="51" bestFit="1" customWidth="1"/>
    <col min="3" max="3" width="15.5703125" style="51" bestFit="1" customWidth="1"/>
    <col min="4" max="4" width="15.5703125" style="11" bestFit="1" customWidth="1"/>
    <col min="5" max="5" width="23" style="51" bestFit="1" customWidth="1"/>
    <col min="6" max="6" width="12.28515625" style="50" bestFit="1" customWidth="1"/>
    <col min="7" max="16384" width="29.28515625" style="50"/>
  </cols>
  <sheetData>
    <row r="1" spans="1:11" s="49" customFormat="1" x14ac:dyDescent="0.25">
      <c r="A1" s="11" t="s">
        <v>10</v>
      </c>
      <c r="B1" s="11" t="s">
        <v>9</v>
      </c>
      <c r="C1" s="11" t="s">
        <v>101</v>
      </c>
      <c r="D1" s="11" t="s">
        <v>100</v>
      </c>
      <c r="E1" s="11" t="s">
        <v>8</v>
      </c>
      <c r="F1" s="47" t="s">
        <v>71</v>
      </c>
      <c r="G1" s="48"/>
      <c r="H1" s="48"/>
      <c r="I1" s="48"/>
      <c r="J1" s="48"/>
      <c r="K1" s="48"/>
    </row>
    <row r="2" spans="1:11" ht="45" x14ac:dyDescent="0.25">
      <c r="A2" s="23" t="s">
        <v>63</v>
      </c>
      <c r="B2" s="23" t="s">
        <v>64</v>
      </c>
      <c r="C2" s="23"/>
      <c r="E2" s="23"/>
      <c r="F2" s="16"/>
      <c r="G2" s="16"/>
      <c r="H2" s="16"/>
      <c r="I2" s="16"/>
      <c r="J2" s="16"/>
      <c r="K2" s="16"/>
    </row>
    <row r="3" spans="1:11" x14ac:dyDescent="0.25">
      <c r="A3" s="23" t="s">
        <v>62</v>
      </c>
      <c r="B3" s="23" t="s">
        <v>61</v>
      </c>
      <c r="C3" s="23"/>
      <c r="E3" s="23"/>
      <c r="F3" s="16"/>
      <c r="G3" s="16"/>
      <c r="H3" s="16"/>
      <c r="I3" s="16"/>
      <c r="J3" s="16"/>
      <c r="K3" s="16"/>
    </row>
    <row r="4" spans="1:11" x14ac:dyDescent="0.25">
      <c r="A4" s="23" t="s">
        <v>55</v>
      </c>
      <c r="B4" s="23" t="s">
        <v>56</v>
      </c>
      <c r="C4" s="23"/>
      <c r="E4" s="23"/>
      <c r="F4" s="16"/>
      <c r="G4" s="16"/>
      <c r="H4" s="16"/>
      <c r="I4" s="16"/>
      <c r="J4" s="16"/>
      <c r="K4" s="16"/>
    </row>
    <row r="5" spans="1:11" x14ac:dyDescent="0.25">
      <c r="A5" s="25" t="s">
        <v>1</v>
      </c>
      <c r="B5" s="4" t="s">
        <v>21</v>
      </c>
      <c r="C5" s="23" t="s">
        <v>102</v>
      </c>
      <c r="E5" s="23" t="s">
        <v>107</v>
      </c>
      <c r="F5" s="16"/>
      <c r="G5" s="16"/>
      <c r="H5" s="16"/>
      <c r="I5" s="16"/>
      <c r="J5" s="16"/>
      <c r="K5" s="16"/>
    </row>
    <row r="6" spans="1:11" x14ac:dyDescent="0.25">
      <c r="A6" s="23" t="s">
        <v>39</v>
      </c>
      <c r="B6" s="23" t="s">
        <v>40</v>
      </c>
      <c r="C6" s="23"/>
      <c r="E6" s="23"/>
      <c r="F6" s="16"/>
      <c r="G6" s="16"/>
      <c r="H6" s="16"/>
      <c r="I6" s="16"/>
      <c r="J6" s="16"/>
      <c r="K6" s="16"/>
    </row>
    <row r="7" spans="1:11" ht="22.5" x14ac:dyDescent="0.25">
      <c r="A7" s="23" t="s">
        <v>4</v>
      </c>
      <c r="B7" s="23" t="s">
        <v>5</v>
      </c>
      <c r="C7" s="14"/>
      <c r="E7" s="23"/>
      <c r="F7" s="16"/>
      <c r="G7" s="16"/>
      <c r="H7" s="16"/>
      <c r="I7" s="16"/>
      <c r="J7" s="16"/>
      <c r="K7" s="16"/>
    </row>
    <row r="8" spans="1:11" x14ac:dyDescent="0.25">
      <c r="A8" s="23" t="s">
        <v>30</v>
      </c>
      <c r="B8" s="23" t="s">
        <v>31</v>
      </c>
      <c r="C8" s="23"/>
      <c r="E8" s="23"/>
      <c r="F8" s="16"/>
      <c r="G8" s="16"/>
      <c r="H8" s="16"/>
      <c r="I8" s="16"/>
      <c r="J8" s="16"/>
      <c r="K8" s="16"/>
    </row>
    <row r="9" spans="1:11" x14ac:dyDescent="0.25">
      <c r="A9" s="23" t="s">
        <v>37</v>
      </c>
      <c r="B9" s="23" t="s">
        <v>38</v>
      </c>
      <c r="C9" s="14" t="s">
        <v>102</v>
      </c>
      <c r="E9" s="23" t="s">
        <v>123</v>
      </c>
      <c r="F9" s="16"/>
      <c r="G9" s="16"/>
      <c r="H9" s="16"/>
      <c r="I9" s="16"/>
      <c r="J9" s="16"/>
      <c r="K9" s="16"/>
    </row>
    <row r="10" spans="1:11" x14ac:dyDescent="0.25">
      <c r="A10" s="23" t="s">
        <v>15</v>
      </c>
      <c r="B10" s="27" t="s">
        <v>16</v>
      </c>
      <c r="C10" s="23"/>
      <c r="E10" s="27"/>
      <c r="F10" s="16"/>
      <c r="G10" s="16"/>
      <c r="H10" s="16"/>
      <c r="I10" s="16"/>
      <c r="J10" s="16"/>
      <c r="K10" s="16"/>
    </row>
    <row r="11" spans="1:11" x14ac:dyDescent="0.25">
      <c r="A11" s="23" t="s">
        <v>45</v>
      </c>
      <c r="B11" s="23" t="s">
        <v>46</v>
      </c>
      <c r="C11" s="4"/>
      <c r="E11" s="23"/>
      <c r="F11" s="16"/>
      <c r="G11" s="16"/>
      <c r="H11" s="16"/>
      <c r="I11" s="16"/>
      <c r="J11" s="16"/>
      <c r="K11" s="16"/>
    </row>
    <row r="12" spans="1:11" x14ac:dyDescent="0.25">
      <c r="A12" s="23" t="s">
        <v>25</v>
      </c>
      <c r="B12" s="23" t="s">
        <v>26</v>
      </c>
      <c r="C12" s="14"/>
      <c r="E12" s="23"/>
      <c r="F12" s="16"/>
      <c r="G12" s="16"/>
      <c r="H12" s="16"/>
      <c r="I12" s="16"/>
      <c r="J12" s="16"/>
      <c r="K12" s="16"/>
    </row>
    <row r="13" spans="1:11" x14ac:dyDescent="0.25">
      <c r="A13" s="23" t="s">
        <v>25</v>
      </c>
      <c r="B13" s="23" t="s">
        <v>26</v>
      </c>
      <c r="C13" s="23"/>
      <c r="E13" s="23"/>
      <c r="F13" s="16"/>
      <c r="G13" s="16"/>
      <c r="H13" s="16"/>
      <c r="I13" s="16"/>
      <c r="J13" s="16"/>
      <c r="K13" s="16"/>
    </row>
    <row r="14" spans="1:11" x14ac:dyDescent="0.25">
      <c r="A14" s="23" t="s">
        <v>18</v>
      </c>
      <c r="B14" s="23" t="s">
        <v>17</v>
      </c>
      <c r="C14" s="23"/>
      <c r="E14" s="23"/>
      <c r="F14" s="16"/>
      <c r="G14" s="16"/>
      <c r="H14" s="16"/>
      <c r="I14" s="16"/>
      <c r="J14" s="16"/>
      <c r="K14" s="16"/>
    </row>
    <row r="15" spans="1:11" x14ac:dyDescent="0.25">
      <c r="A15" s="23" t="s">
        <v>47</v>
      </c>
      <c r="B15" s="23" t="s">
        <v>48</v>
      </c>
      <c r="C15" s="4"/>
      <c r="E15" s="23"/>
      <c r="F15" s="16"/>
      <c r="G15" s="16"/>
      <c r="H15" s="16"/>
      <c r="I15" s="16"/>
      <c r="J15" s="16"/>
      <c r="K15" s="16"/>
    </row>
    <row r="16" spans="1:11" x14ac:dyDescent="0.25">
      <c r="A16" s="23" t="s">
        <v>51</v>
      </c>
      <c r="B16" s="23" t="s">
        <v>52</v>
      </c>
      <c r="C16" s="23"/>
      <c r="E16" s="23"/>
      <c r="F16" s="16"/>
      <c r="G16" s="16"/>
      <c r="H16" s="16"/>
      <c r="I16" s="16"/>
      <c r="J16" s="16"/>
      <c r="K16" s="16"/>
    </row>
    <row r="17" spans="1:11" x14ac:dyDescent="0.25">
      <c r="A17" s="23" t="s">
        <v>14</v>
      </c>
      <c r="B17" s="23" t="s">
        <v>2</v>
      </c>
      <c r="C17" s="4"/>
      <c r="E17" s="4"/>
      <c r="F17" s="16"/>
      <c r="G17" s="16"/>
      <c r="H17" s="16"/>
      <c r="I17" s="16"/>
      <c r="J17" s="16"/>
      <c r="K17" s="16"/>
    </row>
    <row r="18" spans="1:11" x14ac:dyDescent="0.25">
      <c r="A18" s="23" t="s">
        <v>74</v>
      </c>
      <c r="B18" s="23" t="s">
        <v>75</v>
      </c>
      <c r="C18" s="23"/>
      <c r="E18" s="23"/>
      <c r="F18" s="16"/>
      <c r="G18" s="16"/>
      <c r="H18" s="16"/>
      <c r="I18" s="16"/>
      <c r="J18" s="16"/>
      <c r="K18" s="16"/>
    </row>
    <row r="19" spans="1:11" x14ac:dyDescent="0.25">
      <c r="A19" s="23" t="s">
        <v>11</v>
      </c>
      <c r="B19" s="23" t="s">
        <v>12</v>
      </c>
      <c r="C19" s="4"/>
      <c r="E19" s="27"/>
      <c r="F19" s="16"/>
      <c r="G19" s="16"/>
      <c r="H19" s="16"/>
      <c r="I19" s="16"/>
      <c r="J19" s="16"/>
      <c r="K19" s="16"/>
    </row>
    <row r="20" spans="1:11" x14ac:dyDescent="0.25">
      <c r="A20" s="23" t="s">
        <v>33</v>
      </c>
      <c r="B20" s="23" t="s">
        <v>32</v>
      </c>
      <c r="C20" s="23" t="s">
        <v>102</v>
      </c>
      <c r="E20" s="23" t="s">
        <v>114</v>
      </c>
      <c r="F20" s="16"/>
      <c r="G20" s="16"/>
      <c r="H20" s="16"/>
      <c r="I20" s="16"/>
      <c r="J20" s="16"/>
      <c r="K20" s="16"/>
    </row>
    <row r="21" spans="1:11" x14ac:dyDescent="0.25">
      <c r="A21" s="23" t="s">
        <v>99</v>
      </c>
      <c r="B21" s="23" t="s">
        <v>98</v>
      </c>
      <c r="C21" s="23" t="s">
        <v>102</v>
      </c>
      <c r="E21" s="23" t="s">
        <v>103</v>
      </c>
      <c r="F21" s="16"/>
      <c r="G21" s="16"/>
      <c r="H21" s="16"/>
      <c r="I21" s="16"/>
      <c r="J21" s="16"/>
      <c r="K21" s="16"/>
    </row>
    <row r="22" spans="1:11" x14ac:dyDescent="0.25">
      <c r="A22" s="14" t="s">
        <v>3</v>
      </c>
      <c r="B22" s="14" t="s">
        <v>70</v>
      </c>
      <c r="C22" s="23" t="s">
        <v>109</v>
      </c>
      <c r="E22" s="23" t="s">
        <v>122</v>
      </c>
      <c r="F22" s="16"/>
      <c r="G22" s="16"/>
      <c r="H22" s="16"/>
      <c r="I22" s="16"/>
      <c r="J22" s="16"/>
      <c r="K22" s="16"/>
    </row>
    <row r="23" spans="1:11" x14ac:dyDescent="0.25">
      <c r="A23" s="23" t="s">
        <v>36</v>
      </c>
      <c r="B23" s="23" t="s">
        <v>108</v>
      </c>
      <c r="C23" s="4" t="s">
        <v>109</v>
      </c>
      <c r="E23" s="23" t="s">
        <v>110</v>
      </c>
      <c r="F23" s="16"/>
      <c r="G23" s="16"/>
      <c r="H23" s="16"/>
      <c r="I23" s="16"/>
      <c r="J23" s="16"/>
      <c r="K23" s="16"/>
    </row>
    <row r="24" spans="1:11" x14ac:dyDescent="0.25">
      <c r="A24" s="14" t="s">
        <v>35</v>
      </c>
      <c r="B24" s="4" t="s">
        <v>34</v>
      </c>
      <c r="C24" s="14"/>
      <c r="E24" s="23"/>
      <c r="F24" s="16"/>
      <c r="G24" s="16"/>
      <c r="H24" s="16"/>
      <c r="I24" s="16"/>
      <c r="J24" s="16"/>
      <c r="K24" s="16"/>
    </row>
    <row r="25" spans="1:11" x14ac:dyDescent="0.25">
      <c r="A25" s="23" t="s">
        <v>35</v>
      </c>
      <c r="B25" s="23" t="s">
        <v>34</v>
      </c>
      <c r="C25" s="4"/>
      <c r="E25" s="23"/>
      <c r="F25" s="16"/>
      <c r="G25" s="16"/>
      <c r="H25" s="16"/>
      <c r="I25" s="16"/>
      <c r="J25" s="16"/>
      <c r="K25" s="16"/>
    </row>
    <row r="26" spans="1:11" x14ac:dyDescent="0.25">
      <c r="A26" s="23" t="s">
        <v>59</v>
      </c>
      <c r="B26" s="23" t="s">
        <v>60</v>
      </c>
      <c r="C26" s="23"/>
      <c r="E26" s="23"/>
      <c r="F26" s="16"/>
      <c r="G26" s="16"/>
      <c r="H26" s="16"/>
      <c r="I26" s="16"/>
      <c r="J26" s="16"/>
      <c r="K26" s="16"/>
    </row>
    <row r="27" spans="1:11" x14ac:dyDescent="0.25">
      <c r="A27" s="23" t="s">
        <v>44</v>
      </c>
      <c r="B27" s="23" t="s">
        <v>43</v>
      </c>
      <c r="C27" s="23"/>
      <c r="E27" s="23"/>
      <c r="F27" s="16"/>
      <c r="G27" s="16"/>
      <c r="H27" s="16"/>
      <c r="I27" s="16"/>
      <c r="J27" s="16"/>
      <c r="K27" s="16"/>
    </row>
    <row r="28" spans="1:11" x14ac:dyDescent="0.25">
      <c r="A28" s="23" t="s">
        <v>58</v>
      </c>
      <c r="B28" s="23" t="s">
        <v>57</v>
      </c>
      <c r="C28" s="23"/>
      <c r="E28" s="23"/>
      <c r="F28" s="16"/>
      <c r="G28" s="16"/>
      <c r="H28" s="16"/>
      <c r="I28" s="16"/>
      <c r="J28" s="16"/>
      <c r="K28" s="16"/>
    </row>
    <row r="29" spans="1:11" x14ac:dyDescent="0.25">
      <c r="A29" s="23" t="s">
        <v>58</v>
      </c>
      <c r="B29" s="23" t="s">
        <v>57</v>
      </c>
      <c r="C29" s="23"/>
      <c r="E29" s="23"/>
      <c r="F29" s="16"/>
      <c r="G29" s="16"/>
      <c r="H29" s="16"/>
      <c r="I29" s="16"/>
      <c r="J29" s="16"/>
      <c r="K29" s="16"/>
    </row>
    <row r="30" spans="1:11" x14ac:dyDescent="0.25">
      <c r="A30" s="23" t="s">
        <v>58</v>
      </c>
      <c r="B30" s="23" t="s">
        <v>57</v>
      </c>
      <c r="C30" s="23"/>
      <c r="E30" s="23"/>
      <c r="F30" s="16"/>
      <c r="G30" s="16"/>
      <c r="H30" s="16"/>
      <c r="I30" s="16"/>
      <c r="J30" s="16"/>
      <c r="K30" s="16"/>
    </row>
    <row r="31" spans="1:11" x14ac:dyDescent="0.25">
      <c r="A31" s="23" t="s">
        <v>24</v>
      </c>
      <c r="B31" s="23" t="s">
        <v>29</v>
      </c>
      <c r="C31" s="23"/>
      <c r="E31" s="23"/>
      <c r="F31" s="16"/>
      <c r="G31" s="16"/>
      <c r="H31" s="16"/>
      <c r="I31" s="16"/>
      <c r="J31" s="16"/>
      <c r="K31" s="16"/>
    </row>
    <row r="32" spans="1:11" x14ac:dyDescent="0.25">
      <c r="A32" s="23" t="s">
        <v>27</v>
      </c>
      <c r="B32" s="23" t="s">
        <v>28</v>
      </c>
      <c r="C32" s="23"/>
      <c r="E32" s="23"/>
      <c r="F32" s="16"/>
      <c r="G32" s="16"/>
      <c r="H32" s="16"/>
      <c r="I32" s="16"/>
      <c r="J32" s="16"/>
      <c r="K32" s="16"/>
    </row>
    <row r="33" spans="1:11" x14ac:dyDescent="0.25">
      <c r="A33" s="23" t="s">
        <v>91</v>
      </c>
      <c r="B33" s="23" t="s">
        <v>92</v>
      </c>
      <c r="C33" s="23"/>
      <c r="E33" s="23"/>
      <c r="F33" s="16"/>
      <c r="G33" s="16"/>
      <c r="H33" s="16"/>
      <c r="I33" s="16"/>
      <c r="J33" s="16"/>
      <c r="K33" s="16"/>
    </row>
    <row r="34" spans="1:11" ht="22.5" x14ac:dyDescent="0.25">
      <c r="A34" s="23" t="s">
        <v>20</v>
      </c>
      <c r="B34" s="23" t="s">
        <v>22</v>
      </c>
      <c r="C34" s="23"/>
      <c r="E34" s="23"/>
      <c r="F34" s="16"/>
      <c r="G34" s="16"/>
      <c r="H34" s="16"/>
      <c r="I34" s="16"/>
      <c r="J34" s="16"/>
      <c r="K34" s="16"/>
    </row>
    <row r="35" spans="1:11" x14ac:dyDescent="0.25">
      <c r="A35" s="23" t="s">
        <v>41</v>
      </c>
      <c r="B35" s="23" t="s">
        <v>42</v>
      </c>
      <c r="C35" s="23"/>
      <c r="E35" s="23"/>
      <c r="F35" s="16"/>
      <c r="G35" s="16"/>
      <c r="H35" s="16"/>
      <c r="I35" s="16"/>
      <c r="J35" s="16"/>
      <c r="K35" s="16"/>
    </row>
    <row r="36" spans="1:11" x14ac:dyDescent="0.25">
      <c r="A36" s="23" t="s">
        <v>50</v>
      </c>
      <c r="B36" s="23" t="s">
        <v>78</v>
      </c>
      <c r="C36" s="23"/>
      <c r="E36" s="23"/>
      <c r="F36" s="16"/>
      <c r="G36" s="16"/>
      <c r="H36" s="16"/>
      <c r="I36" s="16"/>
      <c r="J36" s="16"/>
      <c r="K36" s="16"/>
    </row>
    <row r="37" spans="1:11" x14ac:dyDescent="0.25">
      <c r="A37" s="23" t="s">
        <v>67</v>
      </c>
      <c r="B37" s="23" t="s">
        <v>68</v>
      </c>
      <c r="C37" s="23"/>
      <c r="E37" s="23"/>
      <c r="F37" s="16"/>
      <c r="G37" s="16"/>
      <c r="H37" s="16"/>
      <c r="I37" s="16"/>
      <c r="J37" s="16"/>
      <c r="K37" s="16"/>
    </row>
    <row r="38" spans="1:11" x14ac:dyDescent="0.25">
      <c r="A38" s="23" t="s">
        <v>53</v>
      </c>
      <c r="B38" s="23" t="s">
        <v>54</v>
      </c>
      <c r="C38" s="23"/>
      <c r="E38" s="23"/>
      <c r="F38" s="16"/>
      <c r="G38" s="16"/>
      <c r="H38" s="16"/>
      <c r="I38" s="16"/>
      <c r="J38" s="16"/>
      <c r="K38" s="16"/>
    </row>
    <row r="39" spans="1:11" x14ac:dyDescent="0.25">
      <c r="A39" s="23" t="s">
        <v>104</v>
      </c>
      <c r="B39" s="23" t="s">
        <v>105</v>
      </c>
      <c r="C39" s="23" t="s">
        <v>102</v>
      </c>
      <c r="E39" s="23" t="s">
        <v>106</v>
      </c>
      <c r="F39" s="16"/>
      <c r="G39" s="16"/>
      <c r="H39" s="16"/>
      <c r="I39" s="16"/>
      <c r="J39" s="16"/>
      <c r="K39" s="16"/>
    </row>
    <row r="40" spans="1:11" ht="22.5" x14ac:dyDescent="0.25">
      <c r="A40" s="23" t="s">
        <v>111</v>
      </c>
      <c r="B40" s="23" t="s">
        <v>113</v>
      </c>
      <c r="C40" s="23" t="s">
        <v>102</v>
      </c>
      <c r="E40" s="23" t="s">
        <v>112</v>
      </c>
      <c r="F40" s="16"/>
      <c r="G40" s="16"/>
      <c r="H40" s="16"/>
      <c r="I40" s="16"/>
      <c r="J40" s="16"/>
      <c r="K40" s="16"/>
    </row>
    <row r="41" spans="1:11" ht="22.5" x14ac:dyDescent="0.25">
      <c r="A41" s="23" t="s">
        <v>124</v>
      </c>
      <c r="B41" s="23" t="s">
        <v>125</v>
      </c>
      <c r="C41" s="23" t="s">
        <v>102</v>
      </c>
      <c r="E41" s="23" t="s">
        <v>126</v>
      </c>
      <c r="F41" s="16"/>
      <c r="G41" s="16"/>
      <c r="H41" s="16"/>
      <c r="I41" s="16"/>
      <c r="J41" s="16"/>
      <c r="K41" s="16"/>
    </row>
    <row r="42" spans="1:11" ht="22.5" x14ac:dyDescent="0.25">
      <c r="A42" s="23" t="s">
        <v>128</v>
      </c>
      <c r="B42" s="23" t="s">
        <v>129</v>
      </c>
      <c r="C42" s="23" t="s">
        <v>102</v>
      </c>
      <c r="E42" s="23" t="s">
        <v>127</v>
      </c>
      <c r="F42" s="16"/>
      <c r="G42" s="16"/>
      <c r="H42" s="16"/>
      <c r="I42" s="16"/>
      <c r="J42" s="16"/>
      <c r="K42" s="16"/>
    </row>
    <row r="43" spans="1:11" x14ac:dyDescent="0.25">
      <c r="A43" s="23" t="s">
        <v>130</v>
      </c>
      <c r="B43" s="23" t="s">
        <v>131</v>
      </c>
      <c r="C43" s="23"/>
      <c r="E43" s="23"/>
      <c r="F43" s="16"/>
      <c r="G43" s="16"/>
      <c r="H43" s="16"/>
      <c r="I43" s="16"/>
      <c r="J43" s="16"/>
      <c r="K43" s="16"/>
    </row>
    <row r="44" spans="1:11" ht="56.25" x14ac:dyDescent="0.25">
      <c r="A44" s="23" t="s">
        <v>133</v>
      </c>
      <c r="B44" s="23" t="s">
        <v>132</v>
      </c>
      <c r="C44" s="23"/>
      <c r="E44" s="23"/>
      <c r="F44" s="16"/>
      <c r="G44" s="16"/>
      <c r="H44" s="16"/>
      <c r="I44" s="16"/>
      <c r="J44" s="16"/>
      <c r="K44" s="16"/>
    </row>
    <row r="45" spans="1:11" ht="15" customHeight="1" x14ac:dyDescent="0.25">
      <c r="A45" s="23" t="s">
        <v>136</v>
      </c>
      <c r="B45" s="23" t="s">
        <v>137</v>
      </c>
      <c r="C45" s="23" t="s">
        <v>102</v>
      </c>
      <c r="E45" s="23" t="s">
        <v>135</v>
      </c>
      <c r="F45" s="16"/>
      <c r="G45" s="16"/>
      <c r="H45" s="16"/>
      <c r="I45" s="16"/>
      <c r="J45" s="16"/>
      <c r="K45" s="16"/>
    </row>
    <row r="46" spans="1:11" ht="15" customHeight="1" x14ac:dyDescent="0.25">
      <c r="A46" s="23"/>
      <c r="B46" s="23"/>
      <c r="C46" s="23"/>
      <c r="E46" s="23"/>
      <c r="F46" s="16"/>
      <c r="G46" s="16"/>
      <c r="H46" s="16"/>
      <c r="I46" s="16"/>
      <c r="J46" s="16"/>
      <c r="K46" s="16"/>
    </row>
    <row r="47" spans="1:11" x14ac:dyDescent="0.25">
      <c r="A47" s="23"/>
      <c r="B47" s="23"/>
      <c r="C47" s="23"/>
      <c r="E47" s="23"/>
      <c r="F47" s="16"/>
      <c r="G47" s="16"/>
      <c r="H47" s="16"/>
      <c r="I47" s="16"/>
      <c r="J47" s="16"/>
      <c r="K47" s="16"/>
    </row>
    <row r="48" spans="1:11" x14ac:dyDescent="0.25">
      <c r="A48" s="23"/>
      <c r="B48" s="23"/>
      <c r="C48" s="23"/>
      <c r="E48" s="23"/>
      <c r="F48" s="16"/>
      <c r="G48" s="16"/>
      <c r="H48" s="16"/>
      <c r="I48" s="16"/>
      <c r="J48" s="16"/>
      <c r="K48" s="16"/>
    </row>
    <row r="49" spans="1:11" x14ac:dyDescent="0.25">
      <c r="A49" s="23"/>
      <c r="B49" s="23"/>
      <c r="C49" s="23"/>
      <c r="E49" s="23"/>
      <c r="F49" s="16"/>
      <c r="G49" s="16"/>
      <c r="H49" s="16"/>
      <c r="I49" s="16"/>
      <c r="J49" s="16"/>
      <c r="K49" s="16"/>
    </row>
    <row r="50" spans="1:11" x14ac:dyDescent="0.25">
      <c r="A50" s="23"/>
      <c r="B50" s="23"/>
      <c r="C50" s="23"/>
      <c r="E50" s="23"/>
      <c r="F50" s="16"/>
      <c r="G50" s="16"/>
      <c r="H50" s="16"/>
      <c r="I50" s="16"/>
      <c r="J50" s="16"/>
      <c r="K50" s="16"/>
    </row>
    <row r="51" spans="1:11" x14ac:dyDescent="0.25">
      <c r="A51" s="23"/>
      <c r="B51" s="23"/>
      <c r="C51" s="23"/>
      <c r="E51" s="23"/>
      <c r="F51" s="16"/>
      <c r="G51" s="16"/>
      <c r="H51" s="16"/>
      <c r="I51" s="16"/>
      <c r="J51" s="16"/>
      <c r="K51" s="16"/>
    </row>
    <row r="52" spans="1:11" x14ac:dyDescent="0.25">
      <c r="A52" s="23"/>
      <c r="B52" s="23"/>
      <c r="C52" s="23"/>
      <c r="E52" s="23"/>
      <c r="F52" s="16"/>
      <c r="G52" s="16"/>
      <c r="H52" s="16"/>
      <c r="I52" s="16"/>
      <c r="J52" s="16"/>
      <c r="K52" s="16"/>
    </row>
    <row r="53" spans="1:11" x14ac:dyDescent="0.25">
      <c r="A53" s="23"/>
      <c r="B53" s="23"/>
      <c r="C53" s="23"/>
      <c r="E53" s="23"/>
      <c r="F53" s="16"/>
      <c r="G53" s="16"/>
      <c r="H53" s="16"/>
      <c r="I53" s="16"/>
      <c r="J53" s="16"/>
      <c r="K53" s="16"/>
    </row>
    <row r="54" spans="1:11" x14ac:dyDescent="0.25">
      <c r="A54" s="23"/>
      <c r="B54" s="23"/>
      <c r="C54" s="23"/>
      <c r="E54" s="23"/>
      <c r="F54" s="16"/>
      <c r="G54" s="16"/>
      <c r="H54" s="16"/>
      <c r="I54" s="16"/>
      <c r="J54" s="16"/>
      <c r="K54" s="16"/>
    </row>
    <row r="55" spans="1:11" x14ac:dyDescent="0.25">
      <c r="A55" s="23"/>
      <c r="B55" s="23"/>
      <c r="C55" s="23"/>
      <c r="E55" s="23"/>
      <c r="F55" s="16"/>
      <c r="G55" s="16"/>
      <c r="H55" s="16"/>
      <c r="I55" s="16"/>
      <c r="J55" s="16"/>
      <c r="K55" s="16"/>
    </row>
    <row r="56" spans="1:11" x14ac:dyDescent="0.25">
      <c r="A56" s="23"/>
      <c r="B56" s="23"/>
      <c r="C56" s="23"/>
      <c r="E56" s="23"/>
      <c r="F56" s="16"/>
      <c r="G56" s="16"/>
      <c r="H56" s="16"/>
      <c r="I56" s="16"/>
      <c r="J56" s="16"/>
      <c r="K56" s="16"/>
    </row>
    <row r="57" spans="1:11" x14ac:dyDescent="0.25">
      <c r="A57" s="23"/>
      <c r="B57" s="23"/>
      <c r="C57" s="23"/>
      <c r="E57" s="23"/>
      <c r="F57" s="16"/>
      <c r="G57" s="16"/>
      <c r="H57" s="16"/>
      <c r="I57" s="16"/>
      <c r="J57" s="16"/>
      <c r="K57" s="16"/>
    </row>
    <row r="58" spans="1:11" x14ac:dyDescent="0.25">
      <c r="A58" s="23"/>
      <c r="B58" s="23"/>
      <c r="C58" s="23"/>
      <c r="E58" s="23"/>
      <c r="F58" s="16"/>
      <c r="G58" s="16"/>
      <c r="H58" s="16"/>
      <c r="I58" s="16"/>
      <c r="J58" s="16"/>
      <c r="K58" s="16"/>
    </row>
    <row r="59" spans="1:11" x14ac:dyDescent="0.25">
      <c r="A59" s="23"/>
      <c r="B59" s="23"/>
      <c r="C59" s="23"/>
      <c r="E59" s="23"/>
      <c r="F59" s="16"/>
      <c r="G59" s="16"/>
      <c r="H59" s="16"/>
      <c r="I59" s="16"/>
      <c r="J59" s="16"/>
      <c r="K59" s="16"/>
    </row>
    <row r="60" spans="1:11" x14ac:dyDescent="0.25">
      <c r="A60" s="23"/>
      <c r="B60" s="23"/>
      <c r="C60" s="23"/>
      <c r="E60" s="23"/>
      <c r="F60" s="16"/>
      <c r="G60" s="16"/>
      <c r="H60" s="16"/>
      <c r="I60" s="16"/>
      <c r="J60" s="16"/>
      <c r="K60" s="16"/>
    </row>
    <row r="61" spans="1:11" x14ac:dyDescent="0.25">
      <c r="A61" s="23"/>
      <c r="B61" s="23"/>
      <c r="C61" s="23"/>
      <c r="E61" s="23"/>
      <c r="F61" s="16"/>
      <c r="G61" s="16"/>
      <c r="H61" s="16"/>
      <c r="I61" s="16"/>
      <c r="J61" s="16"/>
      <c r="K61" s="16"/>
    </row>
    <row r="62" spans="1:11" x14ac:dyDescent="0.25">
      <c r="A62" s="23"/>
      <c r="B62" s="23"/>
      <c r="C62" s="23"/>
      <c r="E62" s="23"/>
      <c r="F62" s="16"/>
      <c r="G62" s="16"/>
      <c r="H62" s="16"/>
      <c r="I62" s="16"/>
      <c r="J62" s="16"/>
      <c r="K62" s="16"/>
    </row>
    <row r="63" spans="1:11" x14ac:dyDescent="0.25">
      <c r="A63" s="23"/>
      <c r="B63" s="23"/>
      <c r="C63" s="23"/>
      <c r="E63" s="23"/>
      <c r="F63" s="16"/>
      <c r="G63" s="16"/>
      <c r="H63" s="16"/>
      <c r="I63" s="16"/>
      <c r="J63" s="16"/>
      <c r="K63" s="16"/>
    </row>
    <row r="64" spans="1:11" x14ac:dyDescent="0.25">
      <c r="A64" s="23"/>
      <c r="B64" s="23"/>
      <c r="C64" s="23"/>
      <c r="E64" s="23"/>
      <c r="F64" s="16"/>
      <c r="G64" s="16"/>
      <c r="H64" s="16"/>
      <c r="I64" s="16"/>
      <c r="J64" s="16"/>
      <c r="K64" s="16"/>
    </row>
    <row r="65" spans="1:11" x14ac:dyDescent="0.25">
      <c r="A65" s="23"/>
      <c r="B65" s="23"/>
      <c r="C65" s="23"/>
      <c r="E65" s="23"/>
      <c r="F65" s="16"/>
      <c r="G65" s="16"/>
      <c r="H65" s="16"/>
      <c r="I65" s="16"/>
      <c r="J65" s="16"/>
      <c r="K65" s="16"/>
    </row>
    <row r="66" spans="1:11" x14ac:dyDescent="0.25">
      <c r="A66" s="23"/>
      <c r="B66" s="23"/>
      <c r="C66" s="23"/>
      <c r="E66" s="23"/>
      <c r="F66" s="16"/>
      <c r="G66" s="16"/>
      <c r="H66" s="16"/>
      <c r="I66" s="16"/>
      <c r="J66" s="16"/>
      <c r="K66" s="16"/>
    </row>
    <row r="67" spans="1:11" x14ac:dyDescent="0.25">
      <c r="A67" s="23"/>
      <c r="B67" s="23"/>
      <c r="C67" s="23"/>
      <c r="E67" s="23"/>
      <c r="F67" s="16"/>
      <c r="G67" s="16"/>
      <c r="H67" s="16"/>
      <c r="I67" s="16"/>
      <c r="J67" s="16"/>
      <c r="K67" s="16"/>
    </row>
    <row r="68" spans="1:11" x14ac:dyDescent="0.25">
      <c r="A68" s="23"/>
      <c r="B68" s="23"/>
      <c r="C68" s="23"/>
      <c r="E68" s="23"/>
      <c r="F68" s="16"/>
      <c r="G68" s="16"/>
      <c r="H68" s="16"/>
      <c r="I68" s="16"/>
      <c r="J68" s="16"/>
      <c r="K68" s="16"/>
    </row>
    <row r="69" spans="1:11" x14ac:dyDescent="0.25">
      <c r="A69" s="23"/>
      <c r="B69" s="23"/>
      <c r="C69" s="23"/>
      <c r="E69" s="23"/>
      <c r="F69" s="16"/>
      <c r="G69" s="16"/>
      <c r="H69" s="16"/>
      <c r="I69" s="16"/>
      <c r="J69" s="16"/>
      <c r="K69" s="16"/>
    </row>
    <row r="70" spans="1:11" x14ac:dyDescent="0.25">
      <c r="A70" s="23"/>
      <c r="B70" s="23"/>
      <c r="C70" s="23"/>
      <c r="E70" s="23"/>
      <c r="F70" s="16"/>
      <c r="G70" s="16"/>
      <c r="H70" s="16"/>
      <c r="I70" s="16"/>
      <c r="J70" s="16"/>
      <c r="K70" s="16"/>
    </row>
    <row r="71" spans="1:11" x14ac:dyDescent="0.25">
      <c r="A71" s="23"/>
      <c r="B71" s="23"/>
      <c r="C71" s="23"/>
      <c r="E71" s="23"/>
      <c r="F71" s="16"/>
      <c r="G71" s="16"/>
      <c r="H71" s="16"/>
      <c r="I71" s="16"/>
      <c r="J71" s="16"/>
      <c r="K71" s="16"/>
    </row>
    <row r="72" spans="1:11" x14ac:dyDescent="0.25">
      <c r="A72" s="23"/>
      <c r="B72" s="23"/>
      <c r="C72" s="23"/>
      <c r="E72" s="23"/>
      <c r="F72" s="16"/>
      <c r="G72" s="16"/>
      <c r="H72" s="16"/>
      <c r="I72" s="16"/>
      <c r="J72" s="16"/>
      <c r="K72" s="16"/>
    </row>
    <row r="73" spans="1:11" x14ac:dyDescent="0.25">
      <c r="A73" s="23"/>
      <c r="B73" s="23"/>
      <c r="C73" s="23"/>
      <c r="E73" s="23"/>
      <c r="F73" s="16"/>
      <c r="G73" s="16"/>
      <c r="H73" s="16"/>
      <c r="I73" s="16"/>
      <c r="J73" s="16"/>
      <c r="K73" s="16"/>
    </row>
    <row r="74" spans="1:11" x14ac:dyDescent="0.25">
      <c r="A74" s="23"/>
      <c r="B74" s="23"/>
      <c r="C74" s="23"/>
      <c r="E74" s="23"/>
      <c r="F74" s="16"/>
      <c r="G74" s="16"/>
      <c r="H74" s="16"/>
      <c r="I74" s="16"/>
      <c r="J74" s="16"/>
      <c r="K74" s="16"/>
    </row>
    <row r="75" spans="1:11" x14ac:dyDescent="0.25">
      <c r="A75" s="23"/>
      <c r="B75" s="23"/>
      <c r="C75" s="23"/>
      <c r="E75" s="23"/>
      <c r="F75" s="16"/>
      <c r="G75" s="16"/>
      <c r="H75" s="16"/>
      <c r="I75" s="16"/>
      <c r="J75" s="16"/>
      <c r="K75" s="16"/>
    </row>
    <row r="76" spans="1:11" x14ac:dyDescent="0.25">
      <c r="A76" s="23"/>
      <c r="B76" s="23"/>
      <c r="C76" s="23"/>
      <c r="E76" s="23"/>
      <c r="F76" s="16"/>
      <c r="G76" s="16"/>
      <c r="H76" s="16"/>
      <c r="I76" s="16"/>
      <c r="J76" s="16"/>
      <c r="K76" s="16"/>
    </row>
    <row r="77" spans="1:11" x14ac:dyDescent="0.25">
      <c r="A77" s="23"/>
      <c r="B77" s="23"/>
      <c r="C77" s="23"/>
      <c r="E77" s="23"/>
      <c r="F77" s="16"/>
      <c r="G77" s="16"/>
      <c r="H77" s="16"/>
      <c r="I77" s="16"/>
      <c r="J77" s="16"/>
      <c r="K77" s="16"/>
    </row>
    <row r="78" spans="1:11" x14ac:dyDescent="0.25">
      <c r="A78" s="23"/>
      <c r="B78" s="23"/>
      <c r="C78" s="23"/>
      <c r="E78" s="23"/>
      <c r="F78" s="16"/>
      <c r="G78" s="16"/>
      <c r="H78" s="16"/>
      <c r="I78" s="16"/>
      <c r="J78" s="16"/>
      <c r="K78" s="16"/>
    </row>
    <row r="79" spans="1:11" x14ac:dyDescent="0.25">
      <c r="A79" s="23"/>
      <c r="B79" s="23"/>
      <c r="C79" s="23"/>
      <c r="E79" s="23"/>
      <c r="F79" s="16"/>
      <c r="G79" s="16"/>
      <c r="H79" s="16"/>
      <c r="I79" s="16"/>
      <c r="J79" s="16"/>
      <c r="K79" s="16"/>
    </row>
    <row r="80" spans="1:11" x14ac:dyDescent="0.25">
      <c r="A80" s="23"/>
      <c r="B80" s="23"/>
      <c r="C80" s="23"/>
      <c r="E80" s="23"/>
      <c r="F80" s="16"/>
      <c r="G80" s="16"/>
      <c r="H80" s="16"/>
      <c r="I80" s="16"/>
      <c r="J80" s="16"/>
      <c r="K80" s="16"/>
    </row>
    <row r="81" spans="1:11" x14ac:dyDescent="0.25">
      <c r="A81" s="23"/>
      <c r="B81" s="23"/>
      <c r="C81" s="23"/>
      <c r="E81" s="23"/>
      <c r="F81" s="16"/>
      <c r="G81" s="16"/>
      <c r="H81" s="16"/>
      <c r="I81" s="16"/>
      <c r="J81" s="16"/>
      <c r="K81" s="16"/>
    </row>
    <row r="82" spans="1:11" x14ac:dyDescent="0.25">
      <c r="A82" s="23"/>
      <c r="B82" s="23"/>
      <c r="C82" s="23"/>
      <c r="E82" s="23"/>
      <c r="F82" s="16"/>
      <c r="G82" s="16"/>
      <c r="H82" s="16"/>
      <c r="I82" s="16"/>
      <c r="J82" s="16"/>
      <c r="K82" s="16"/>
    </row>
    <row r="83" spans="1:11" x14ac:dyDescent="0.25">
      <c r="A83" s="23"/>
      <c r="B83" s="23"/>
      <c r="C83" s="23"/>
      <c r="E83" s="23"/>
      <c r="F83" s="16"/>
      <c r="G83" s="16"/>
      <c r="H83" s="16"/>
      <c r="I83" s="16"/>
      <c r="J83" s="16"/>
      <c r="K83" s="16"/>
    </row>
    <row r="84" spans="1:11" x14ac:dyDescent="0.25">
      <c r="A84" s="23"/>
      <c r="B84" s="23"/>
      <c r="C84" s="23"/>
      <c r="E84" s="23"/>
      <c r="F84" s="16"/>
      <c r="G84" s="16"/>
      <c r="H84" s="16"/>
      <c r="I84" s="16"/>
      <c r="J84" s="16"/>
      <c r="K84" s="16"/>
    </row>
    <row r="85" spans="1:11" x14ac:dyDescent="0.25">
      <c r="A85" s="23"/>
      <c r="B85" s="23"/>
      <c r="C85" s="23"/>
      <c r="E85" s="23"/>
      <c r="F85" s="16"/>
      <c r="G85" s="16"/>
      <c r="H85" s="16"/>
      <c r="I85" s="16"/>
      <c r="J85" s="16"/>
      <c r="K85" s="16"/>
    </row>
    <row r="86" spans="1:11" x14ac:dyDescent="0.25">
      <c r="A86" s="23"/>
      <c r="B86" s="23"/>
      <c r="C86" s="23"/>
      <c r="E86" s="23"/>
      <c r="F86" s="16"/>
      <c r="G86" s="16"/>
      <c r="H86" s="16"/>
      <c r="I86" s="16"/>
      <c r="J86" s="16"/>
      <c r="K86" s="16"/>
    </row>
    <row r="87" spans="1:11" x14ac:dyDescent="0.25">
      <c r="A87" s="23"/>
      <c r="B87" s="23"/>
      <c r="C87" s="23"/>
      <c r="E87" s="23"/>
      <c r="F87" s="16"/>
      <c r="G87" s="16"/>
      <c r="H87" s="16"/>
      <c r="I87" s="16"/>
      <c r="J87" s="16"/>
      <c r="K87" s="16"/>
    </row>
    <row r="88" spans="1:11" x14ac:dyDescent="0.25">
      <c r="A88" s="23"/>
      <c r="B88" s="23"/>
      <c r="C88" s="23"/>
      <c r="E88" s="23"/>
      <c r="F88" s="16"/>
      <c r="G88" s="16"/>
      <c r="H88" s="16"/>
      <c r="I88" s="16"/>
      <c r="J88" s="16"/>
      <c r="K88" s="16"/>
    </row>
    <row r="89" spans="1:11" x14ac:dyDescent="0.25">
      <c r="A89" s="23"/>
      <c r="B89" s="23"/>
      <c r="C89" s="23"/>
      <c r="E89" s="23"/>
      <c r="F89" s="16"/>
      <c r="G89" s="16"/>
      <c r="H89" s="16"/>
      <c r="I89" s="16"/>
      <c r="J89" s="16"/>
      <c r="K89" s="16"/>
    </row>
    <row r="90" spans="1:11" x14ac:dyDescent="0.25">
      <c r="A90" s="23"/>
      <c r="B90" s="23"/>
      <c r="C90" s="23"/>
      <c r="E90" s="23"/>
      <c r="F90" s="16"/>
      <c r="G90" s="16"/>
      <c r="H90" s="16"/>
      <c r="I90" s="16"/>
      <c r="J90" s="16"/>
      <c r="K90" s="16"/>
    </row>
    <row r="91" spans="1:11" x14ac:dyDescent="0.25">
      <c r="A91" s="23"/>
      <c r="B91" s="23"/>
      <c r="C91" s="23"/>
      <c r="E91" s="23"/>
      <c r="F91" s="16"/>
      <c r="G91" s="16"/>
      <c r="H91" s="16"/>
      <c r="I91" s="16"/>
      <c r="J91" s="16"/>
      <c r="K91" s="16"/>
    </row>
    <row r="92" spans="1:11" x14ac:dyDescent="0.25">
      <c r="A92" s="23"/>
      <c r="B92" s="23"/>
      <c r="C92" s="23"/>
      <c r="E92" s="23"/>
      <c r="F92" s="16"/>
      <c r="G92" s="16"/>
      <c r="H92" s="16"/>
      <c r="I92" s="16"/>
      <c r="J92" s="16"/>
      <c r="K92" s="16"/>
    </row>
    <row r="93" spans="1:11" x14ac:dyDescent="0.25">
      <c r="A93" s="23"/>
      <c r="B93" s="23"/>
      <c r="C93" s="23"/>
      <c r="E93" s="23"/>
      <c r="F93" s="16"/>
      <c r="G93" s="16"/>
      <c r="H93" s="16"/>
      <c r="I93" s="16"/>
      <c r="J93" s="16"/>
      <c r="K93" s="16"/>
    </row>
    <row r="94" spans="1:11" x14ac:dyDescent="0.25">
      <c r="A94" s="23"/>
      <c r="B94" s="23"/>
      <c r="C94" s="23"/>
      <c r="E94" s="23"/>
      <c r="F94" s="16"/>
      <c r="G94" s="16"/>
      <c r="H94" s="16"/>
      <c r="I94" s="16"/>
      <c r="J94" s="16"/>
      <c r="K94" s="16"/>
    </row>
    <row r="95" spans="1:11" x14ac:dyDescent="0.25">
      <c r="A95" s="23"/>
      <c r="B95" s="23"/>
      <c r="C95" s="23"/>
      <c r="E95" s="23"/>
      <c r="F95" s="16"/>
      <c r="G95" s="16"/>
      <c r="H95" s="16"/>
      <c r="I95" s="16"/>
      <c r="J95" s="16"/>
      <c r="K95" s="16"/>
    </row>
    <row r="96" spans="1:11" x14ac:dyDescent="0.25">
      <c r="A96" s="23"/>
      <c r="B96" s="23"/>
      <c r="C96" s="23"/>
      <c r="E96" s="23"/>
      <c r="F96" s="16"/>
      <c r="G96" s="16"/>
      <c r="H96" s="16"/>
      <c r="I96" s="16"/>
      <c r="J96" s="16"/>
      <c r="K96" s="16"/>
    </row>
    <row r="97" spans="1:11" x14ac:dyDescent="0.25">
      <c r="A97" s="23"/>
      <c r="B97" s="23"/>
      <c r="C97" s="23"/>
      <c r="E97" s="23"/>
      <c r="F97" s="16"/>
      <c r="G97" s="16"/>
      <c r="H97" s="16"/>
      <c r="I97" s="16"/>
      <c r="J97" s="16"/>
      <c r="K97" s="16"/>
    </row>
    <row r="98" spans="1:11" x14ac:dyDescent="0.25">
      <c r="A98" s="23"/>
      <c r="B98" s="23"/>
      <c r="C98" s="23"/>
      <c r="E98" s="23"/>
      <c r="F98" s="16"/>
      <c r="G98" s="16"/>
      <c r="H98" s="16"/>
      <c r="I98" s="16"/>
      <c r="J98" s="16"/>
      <c r="K98" s="16"/>
    </row>
    <row r="99" spans="1:11" x14ac:dyDescent="0.25">
      <c r="A99" s="23"/>
      <c r="B99" s="23"/>
      <c r="C99" s="23"/>
      <c r="E99" s="23"/>
      <c r="F99" s="16"/>
      <c r="G99" s="16"/>
      <c r="H99" s="16"/>
      <c r="I99" s="16"/>
      <c r="J99" s="16"/>
      <c r="K99" s="16"/>
    </row>
    <row r="100" spans="1:11" x14ac:dyDescent="0.25">
      <c r="A100" s="23"/>
      <c r="B100" s="23"/>
      <c r="C100" s="23"/>
      <c r="E100" s="23"/>
      <c r="F100" s="16"/>
      <c r="G100" s="16"/>
      <c r="H100" s="16"/>
      <c r="I100" s="16"/>
      <c r="J100" s="16"/>
      <c r="K100" s="16"/>
    </row>
    <row r="101" spans="1:11" x14ac:dyDescent="0.25">
      <c r="A101" s="23"/>
      <c r="B101" s="23"/>
      <c r="C101" s="23"/>
      <c r="E101" s="23"/>
      <c r="F101" s="16"/>
      <c r="G101" s="16"/>
      <c r="H101" s="16"/>
      <c r="I101" s="16"/>
      <c r="J101" s="16"/>
      <c r="K101" s="16"/>
    </row>
    <row r="102" spans="1:11" x14ac:dyDescent="0.25">
      <c r="A102" s="23"/>
      <c r="B102" s="23"/>
      <c r="C102" s="23"/>
      <c r="E102" s="23"/>
      <c r="F102" s="16"/>
      <c r="G102" s="16"/>
      <c r="H102" s="16"/>
      <c r="I102" s="16"/>
      <c r="J102" s="16"/>
      <c r="K102" s="16"/>
    </row>
    <row r="103" spans="1:11" x14ac:dyDescent="0.25">
      <c r="A103" s="23"/>
      <c r="B103" s="23"/>
      <c r="C103" s="23"/>
      <c r="E103" s="23"/>
      <c r="F103" s="16"/>
      <c r="G103" s="16"/>
      <c r="H103" s="16"/>
      <c r="I103" s="16"/>
      <c r="J103" s="16"/>
      <c r="K103" s="16"/>
    </row>
    <row r="104" spans="1:11" x14ac:dyDescent="0.25">
      <c r="A104" s="23"/>
      <c r="B104" s="23"/>
      <c r="C104" s="23"/>
      <c r="E104" s="23"/>
      <c r="F104" s="16"/>
      <c r="G104" s="16"/>
      <c r="H104" s="16"/>
      <c r="I104" s="16"/>
      <c r="J104" s="16"/>
      <c r="K104" s="16"/>
    </row>
    <row r="105" spans="1:11" x14ac:dyDescent="0.25">
      <c r="A105" s="23"/>
      <c r="B105" s="23"/>
      <c r="C105" s="23"/>
      <c r="E105" s="23"/>
      <c r="F105" s="16"/>
      <c r="G105" s="16"/>
      <c r="H105" s="16"/>
      <c r="I105" s="16"/>
      <c r="J105" s="16"/>
      <c r="K105" s="16"/>
    </row>
    <row r="106" spans="1:11" x14ac:dyDescent="0.25">
      <c r="A106" s="23"/>
      <c r="B106" s="23"/>
      <c r="C106" s="23"/>
      <c r="E106" s="23"/>
      <c r="F106" s="16"/>
      <c r="G106" s="16"/>
      <c r="H106" s="16"/>
      <c r="I106" s="16"/>
      <c r="J106" s="16"/>
      <c r="K106" s="16"/>
    </row>
    <row r="107" spans="1:11" x14ac:dyDescent="0.25">
      <c r="A107" s="23"/>
      <c r="B107" s="23"/>
      <c r="C107" s="23"/>
      <c r="E107" s="23"/>
      <c r="F107" s="16"/>
      <c r="G107" s="16"/>
      <c r="H107" s="16"/>
      <c r="I107" s="16"/>
      <c r="J107" s="16"/>
      <c r="K107" s="16"/>
    </row>
    <row r="108" spans="1:11" x14ac:dyDescent="0.25">
      <c r="A108" s="23"/>
      <c r="B108" s="23"/>
      <c r="C108" s="23"/>
      <c r="E108" s="23"/>
      <c r="F108" s="16"/>
      <c r="G108" s="16"/>
      <c r="H108" s="16"/>
      <c r="I108" s="16"/>
      <c r="J108" s="16"/>
      <c r="K108" s="16"/>
    </row>
    <row r="109" spans="1:11" x14ac:dyDescent="0.25">
      <c r="A109" s="23"/>
      <c r="B109" s="23"/>
      <c r="C109" s="23"/>
      <c r="E109" s="23"/>
      <c r="F109" s="16"/>
      <c r="G109" s="16"/>
      <c r="H109" s="16"/>
      <c r="I109" s="16"/>
      <c r="J109" s="16"/>
      <c r="K109" s="16"/>
    </row>
    <row r="110" spans="1:11" x14ac:dyDescent="0.25">
      <c r="A110" s="23"/>
      <c r="B110" s="23"/>
      <c r="C110" s="23"/>
      <c r="E110" s="23"/>
      <c r="F110" s="16"/>
      <c r="G110" s="16"/>
      <c r="H110" s="16"/>
      <c r="I110" s="16"/>
      <c r="J110" s="16"/>
      <c r="K110" s="16"/>
    </row>
    <row r="111" spans="1:11" x14ac:dyDescent="0.25">
      <c r="A111" s="23"/>
      <c r="B111" s="23"/>
      <c r="C111" s="23"/>
      <c r="E111" s="23"/>
      <c r="F111" s="16"/>
      <c r="G111" s="16"/>
      <c r="H111" s="16"/>
      <c r="I111" s="16"/>
      <c r="J111" s="16"/>
      <c r="K111" s="16"/>
    </row>
    <row r="112" spans="1:11" x14ac:dyDescent="0.25">
      <c r="A112" s="23"/>
      <c r="B112" s="23"/>
      <c r="C112" s="23"/>
      <c r="E112" s="23"/>
      <c r="F112" s="16"/>
      <c r="G112" s="16"/>
      <c r="H112" s="16"/>
      <c r="I112" s="16"/>
      <c r="J112" s="16"/>
      <c r="K112" s="16"/>
    </row>
    <row r="113" spans="1:11" x14ac:dyDescent="0.25">
      <c r="A113" s="23"/>
      <c r="B113" s="23"/>
      <c r="C113" s="23"/>
      <c r="E113" s="23"/>
      <c r="F113" s="16"/>
      <c r="G113" s="16"/>
      <c r="H113" s="16"/>
      <c r="I113" s="16"/>
      <c r="J113" s="16"/>
      <c r="K113" s="16"/>
    </row>
    <row r="114" spans="1:11" x14ac:dyDescent="0.25">
      <c r="A114" s="23"/>
      <c r="B114" s="23"/>
      <c r="C114" s="23"/>
      <c r="E114" s="23"/>
      <c r="F114" s="16"/>
      <c r="G114" s="16"/>
      <c r="H114" s="16"/>
      <c r="I114" s="16"/>
      <c r="J114" s="16"/>
      <c r="K114" s="16"/>
    </row>
    <row r="115" spans="1:11" x14ac:dyDescent="0.25">
      <c r="A115" s="23"/>
      <c r="B115" s="23"/>
      <c r="C115" s="23"/>
      <c r="E115" s="23"/>
      <c r="F115" s="16"/>
      <c r="G115" s="16"/>
      <c r="H115" s="16"/>
      <c r="I115" s="16"/>
      <c r="J115" s="16"/>
      <c r="K115" s="16"/>
    </row>
    <row r="116" spans="1:11" x14ac:dyDescent="0.25">
      <c r="A116" s="23"/>
      <c r="B116" s="23"/>
      <c r="C116" s="23"/>
      <c r="E116" s="23"/>
      <c r="F116" s="16"/>
      <c r="G116" s="16"/>
      <c r="H116" s="16"/>
      <c r="I116" s="16"/>
      <c r="J116" s="16"/>
      <c r="K116" s="16"/>
    </row>
    <row r="117" spans="1:11" x14ac:dyDescent="0.25">
      <c r="A117" s="23"/>
      <c r="B117" s="23"/>
      <c r="C117" s="23"/>
      <c r="E117" s="23"/>
      <c r="F117" s="16"/>
      <c r="G117" s="16"/>
      <c r="H117" s="16"/>
      <c r="I117" s="16"/>
      <c r="J117" s="16"/>
      <c r="K117" s="16"/>
    </row>
    <row r="118" spans="1:11" x14ac:dyDescent="0.25">
      <c r="A118" s="23"/>
      <c r="B118" s="23"/>
      <c r="C118" s="23"/>
      <c r="E118" s="23"/>
      <c r="F118" s="16"/>
      <c r="G118" s="16"/>
      <c r="H118" s="16"/>
      <c r="I118" s="16"/>
      <c r="J118" s="16"/>
      <c r="K118" s="16"/>
    </row>
    <row r="119" spans="1:11" x14ac:dyDescent="0.25">
      <c r="A119" s="23"/>
      <c r="B119" s="23"/>
      <c r="C119" s="23"/>
      <c r="E119" s="23"/>
      <c r="F119" s="16"/>
      <c r="G119" s="16"/>
      <c r="H119" s="16"/>
      <c r="I119" s="16"/>
      <c r="J119" s="16"/>
      <c r="K119" s="16"/>
    </row>
    <row r="120" spans="1:11" x14ac:dyDescent="0.25">
      <c r="A120" s="23"/>
      <c r="B120" s="23"/>
      <c r="C120" s="23"/>
      <c r="E120" s="23"/>
      <c r="F120" s="16"/>
      <c r="G120" s="16"/>
      <c r="H120" s="16"/>
      <c r="I120" s="16"/>
      <c r="J120" s="16"/>
      <c r="K120" s="16"/>
    </row>
    <row r="121" spans="1:11" x14ac:dyDescent="0.25">
      <c r="A121" s="23"/>
      <c r="B121" s="23"/>
      <c r="C121" s="23"/>
      <c r="E121" s="23"/>
      <c r="F121" s="16"/>
      <c r="G121" s="16"/>
      <c r="H121" s="16"/>
      <c r="I121" s="16"/>
      <c r="J121" s="16"/>
      <c r="K121" s="16"/>
    </row>
    <row r="122" spans="1:11" x14ac:dyDescent="0.25">
      <c r="A122" s="23"/>
      <c r="B122" s="23"/>
      <c r="C122" s="23"/>
      <c r="E122" s="23"/>
      <c r="F122" s="16"/>
      <c r="G122" s="16"/>
      <c r="H122" s="16"/>
      <c r="I122" s="16"/>
      <c r="J122" s="16"/>
      <c r="K122" s="16"/>
    </row>
    <row r="123" spans="1:11" x14ac:dyDescent="0.25">
      <c r="A123" s="23"/>
      <c r="B123" s="23"/>
      <c r="C123" s="23"/>
      <c r="E123" s="23"/>
      <c r="F123" s="16"/>
      <c r="G123" s="16"/>
      <c r="H123" s="16"/>
      <c r="I123" s="16"/>
      <c r="J123" s="16"/>
      <c r="K123" s="16"/>
    </row>
    <row r="124" spans="1:11" x14ac:dyDescent="0.25">
      <c r="A124" s="23"/>
      <c r="B124" s="23"/>
      <c r="C124" s="23"/>
      <c r="E124" s="23"/>
      <c r="F124" s="16"/>
      <c r="G124" s="16"/>
      <c r="H124" s="16"/>
      <c r="I124" s="16"/>
      <c r="J124" s="16"/>
      <c r="K124" s="16"/>
    </row>
    <row r="125" spans="1:11" x14ac:dyDescent="0.25">
      <c r="A125" s="23"/>
      <c r="B125" s="23"/>
      <c r="C125" s="23"/>
      <c r="E125" s="23"/>
      <c r="F125" s="16"/>
      <c r="G125" s="16"/>
      <c r="H125" s="16"/>
      <c r="I125" s="16"/>
      <c r="J125" s="16"/>
      <c r="K125" s="16"/>
    </row>
    <row r="126" spans="1:11" x14ac:dyDescent="0.25">
      <c r="A126" s="23"/>
      <c r="B126" s="23"/>
      <c r="C126" s="23"/>
      <c r="E126" s="23"/>
      <c r="F126" s="16"/>
      <c r="G126" s="16"/>
      <c r="H126" s="16"/>
      <c r="I126" s="16"/>
      <c r="J126" s="16"/>
      <c r="K126" s="16"/>
    </row>
    <row r="127" spans="1:11" x14ac:dyDescent="0.25">
      <c r="A127" s="23"/>
      <c r="B127" s="23"/>
      <c r="C127" s="23"/>
      <c r="E127" s="23"/>
      <c r="F127" s="16"/>
      <c r="G127" s="16"/>
      <c r="H127" s="16"/>
      <c r="I127" s="16"/>
      <c r="J127" s="16"/>
      <c r="K127" s="16"/>
    </row>
    <row r="128" spans="1:11" x14ac:dyDescent="0.25">
      <c r="A128" s="23"/>
      <c r="B128" s="23"/>
      <c r="C128" s="23"/>
      <c r="E128" s="23"/>
      <c r="F128" s="16"/>
      <c r="G128" s="16"/>
      <c r="H128" s="16"/>
      <c r="I128" s="16"/>
      <c r="J128" s="16"/>
      <c r="K128" s="16"/>
    </row>
    <row r="129" spans="1:11" x14ac:dyDescent="0.25">
      <c r="A129" s="23"/>
      <c r="B129" s="23"/>
      <c r="C129" s="23"/>
      <c r="E129" s="23"/>
      <c r="F129" s="16"/>
      <c r="G129" s="16"/>
      <c r="H129" s="16"/>
      <c r="I129" s="16"/>
      <c r="J129" s="16"/>
      <c r="K129" s="16"/>
    </row>
    <row r="130" spans="1:11" x14ac:dyDescent="0.25">
      <c r="A130" s="23"/>
      <c r="B130" s="23"/>
      <c r="C130" s="23"/>
      <c r="E130" s="23"/>
      <c r="F130" s="16"/>
      <c r="G130" s="16"/>
      <c r="H130" s="16"/>
      <c r="I130" s="16"/>
      <c r="J130" s="16"/>
      <c r="K130" s="16"/>
    </row>
    <row r="131" spans="1:11" x14ac:dyDescent="0.25">
      <c r="A131" s="23"/>
      <c r="B131" s="23"/>
      <c r="C131" s="23"/>
      <c r="E131" s="23"/>
      <c r="F131" s="16"/>
      <c r="G131" s="16"/>
      <c r="H131" s="16"/>
      <c r="I131" s="16"/>
      <c r="J131" s="16"/>
      <c r="K131" s="16"/>
    </row>
    <row r="132" spans="1:11" x14ac:dyDescent="0.25">
      <c r="A132" s="23"/>
      <c r="B132" s="23"/>
      <c r="C132" s="23"/>
      <c r="E132" s="23"/>
      <c r="F132" s="16"/>
      <c r="G132" s="16"/>
      <c r="H132" s="16"/>
      <c r="I132" s="16"/>
      <c r="J132" s="16"/>
      <c r="K132" s="16"/>
    </row>
    <row r="133" spans="1:11" x14ac:dyDescent="0.25">
      <c r="A133" s="23"/>
      <c r="B133" s="23"/>
      <c r="C133" s="23"/>
      <c r="E133" s="23"/>
      <c r="F133" s="16"/>
      <c r="G133" s="16"/>
      <c r="H133" s="16"/>
      <c r="I133" s="16"/>
      <c r="J133" s="16"/>
      <c r="K133" s="16"/>
    </row>
    <row r="134" spans="1:11" x14ac:dyDescent="0.25">
      <c r="A134" s="23"/>
      <c r="B134" s="23"/>
      <c r="C134" s="23"/>
      <c r="E134" s="23"/>
      <c r="F134" s="16"/>
      <c r="G134" s="16"/>
      <c r="H134" s="16"/>
      <c r="I134" s="16"/>
      <c r="J134" s="16"/>
      <c r="K134" s="16"/>
    </row>
    <row r="135" spans="1:11" x14ac:dyDescent="0.25">
      <c r="A135" s="23"/>
      <c r="B135" s="23"/>
      <c r="C135" s="23"/>
      <c r="E135" s="23"/>
      <c r="F135" s="16"/>
      <c r="G135" s="16"/>
      <c r="H135" s="16"/>
      <c r="I135" s="16"/>
      <c r="J135" s="16"/>
      <c r="K135" s="16"/>
    </row>
    <row r="136" spans="1:11" x14ac:dyDescent="0.25">
      <c r="A136" s="23"/>
      <c r="B136" s="23"/>
      <c r="C136" s="23"/>
      <c r="E136" s="23"/>
      <c r="F136" s="16"/>
      <c r="G136" s="16"/>
      <c r="H136" s="16"/>
      <c r="I136" s="16"/>
      <c r="J136" s="16"/>
      <c r="K136" s="16"/>
    </row>
    <row r="137" spans="1:11" x14ac:dyDescent="0.25">
      <c r="A137" s="23"/>
      <c r="B137" s="23"/>
      <c r="C137" s="23"/>
      <c r="E137" s="23"/>
      <c r="F137" s="16"/>
      <c r="G137" s="16"/>
      <c r="H137" s="16"/>
      <c r="I137" s="16"/>
      <c r="J137" s="16"/>
      <c r="K137" s="16"/>
    </row>
  </sheetData>
  <autoFilter ref="A1:E38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CI4"/>
  <sheetViews>
    <sheetView zoomScale="85" zoomScaleNormal="85" workbookViewId="0">
      <selection activeCell="B14" sqref="B14"/>
    </sheetView>
  </sheetViews>
  <sheetFormatPr defaultColWidth="9.140625" defaultRowHeight="15" x14ac:dyDescent="0.25"/>
  <cols>
    <col min="1" max="1" width="87.42578125" style="3" customWidth="1"/>
    <col min="2" max="3" width="54.85546875" customWidth="1"/>
    <col min="15" max="15" width="17.28515625" bestFit="1" customWidth="1"/>
    <col min="54" max="54" width="23.42578125" bestFit="1" customWidth="1"/>
  </cols>
  <sheetData>
    <row r="1" spans="1:87" s="1" customFormat="1" ht="46.5" x14ac:dyDescent="0.25">
      <c r="A1" s="3"/>
      <c r="B1" s="8" t="s">
        <v>96</v>
      </c>
      <c r="C1" s="8" t="s">
        <v>13</v>
      </c>
      <c r="D1" s="2"/>
      <c r="E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 t="s">
        <v>0</v>
      </c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</row>
    <row r="2" spans="1:87" s="1" customFormat="1" ht="18.75" x14ac:dyDescent="0.25">
      <c r="A2" s="3" t="s">
        <v>93</v>
      </c>
      <c r="B2" s="77" t="s">
        <v>95</v>
      </c>
      <c r="C2" s="78"/>
    </row>
    <row r="3" spans="1:87" s="1" customFormat="1" ht="69.75" x14ac:dyDescent="0.25">
      <c r="A3" s="3" t="s">
        <v>94</v>
      </c>
      <c r="B3" s="8" t="s">
        <v>73</v>
      </c>
      <c r="C3" s="8" t="s">
        <v>19</v>
      </c>
    </row>
    <row r="4" spans="1:87" s="1" customFormat="1" ht="23.25" x14ac:dyDescent="0.25">
      <c r="A4" s="3"/>
      <c r="B4" s="8">
        <v>0</v>
      </c>
      <c r="C4" s="8">
        <v>2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GV23"/>
  <sheetViews>
    <sheetView tabSelected="1" zoomScale="70" zoomScaleNormal="70" workbookViewId="0">
      <selection activeCell="B10" sqref="B10"/>
    </sheetView>
  </sheetViews>
  <sheetFormatPr defaultColWidth="12" defaultRowHeight="21" x14ac:dyDescent="0.35"/>
  <cols>
    <col min="1" max="1" width="19.42578125" style="54" bestFit="1" customWidth="1"/>
    <col min="2" max="2" width="99.140625" style="71" bestFit="1" customWidth="1"/>
    <col min="3" max="3" width="94.85546875" style="72" bestFit="1" customWidth="1"/>
    <col min="4" max="4" width="18.28515625" style="54" bestFit="1" customWidth="1"/>
    <col min="5" max="5" width="62.5703125" style="61" bestFit="1" customWidth="1"/>
    <col min="6" max="6" width="83.42578125" style="61" bestFit="1" customWidth="1"/>
    <col min="7" max="51" width="12" style="58"/>
    <col min="52" max="52" width="23.85546875" style="58" bestFit="1" customWidth="1"/>
    <col min="53" max="204" width="12" style="58"/>
    <col min="205" max="16384" width="12" style="64"/>
  </cols>
  <sheetData>
    <row r="1" spans="1:204" s="59" customFormat="1" ht="80.25" x14ac:dyDescent="0.5">
      <c r="A1" s="54" t="s">
        <v>65</v>
      </c>
      <c r="B1" s="55" t="s">
        <v>97</v>
      </c>
      <c r="C1" s="56" t="s">
        <v>13</v>
      </c>
      <c r="D1" s="54" t="s">
        <v>72</v>
      </c>
      <c r="E1" s="57" t="s">
        <v>66</v>
      </c>
      <c r="F1" s="57" t="s">
        <v>49</v>
      </c>
      <c r="G1" s="58"/>
      <c r="H1" s="58"/>
      <c r="I1" s="58"/>
      <c r="J1" s="58"/>
      <c r="K1" s="58"/>
      <c r="L1" s="58"/>
      <c r="M1" s="58"/>
      <c r="N1" s="58"/>
      <c r="O1" s="58"/>
      <c r="P1" s="58"/>
      <c r="Q1" s="58"/>
      <c r="R1" s="58"/>
      <c r="S1" s="58"/>
      <c r="T1" s="58"/>
      <c r="U1" s="58"/>
      <c r="V1" s="58"/>
      <c r="W1" s="58"/>
      <c r="X1" s="58"/>
      <c r="Y1" s="58"/>
      <c r="Z1" s="58"/>
      <c r="AA1" s="58"/>
      <c r="AB1" s="58"/>
      <c r="AC1" s="58"/>
      <c r="AD1" s="58"/>
      <c r="AE1" s="58"/>
      <c r="AF1" s="58"/>
      <c r="AG1" s="58"/>
      <c r="AH1" s="58"/>
      <c r="AI1" s="58"/>
      <c r="AJ1" s="58"/>
      <c r="AK1" s="58"/>
      <c r="AL1" s="58"/>
      <c r="AM1" s="58"/>
      <c r="AN1" s="58"/>
      <c r="AO1" s="58"/>
      <c r="AP1" s="58"/>
      <c r="AQ1" s="58"/>
      <c r="AR1" s="58"/>
      <c r="AS1" s="58"/>
      <c r="AT1" s="58"/>
      <c r="AU1" s="58"/>
      <c r="AV1" s="58"/>
      <c r="AW1" s="58"/>
      <c r="AX1" s="58"/>
      <c r="AY1" s="58"/>
      <c r="AZ1" s="58" t="s">
        <v>0</v>
      </c>
      <c r="BA1" s="58"/>
      <c r="BB1" s="58"/>
      <c r="BC1" s="58"/>
      <c r="BD1" s="58"/>
      <c r="BE1" s="58"/>
      <c r="BF1" s="58"/>
      <c r="BG1" s="58"/>
      <c r="BH1" s="58"/>
      <c r="BI1" s="58"/>
      <c r="BJ1" s="58"/>
      <c r="BK1" s="58"/>
      <c r="BL1" s="58"/>
      <c r="BM1" s="58"/>
      <c r="BN1" s="58"/>
      <c r="BO1" s="58"/>
      <c r="BP1" s="58"/>
      <c r="BQ1" s="58"/>
      <c r="BR1" s="58"/>
      <c r="BS1" s="58"/>
      <c r="BT1" s="58"/>
      <c r="BU1" s="58"/>
      <c r="BV1" s="58"/>
      <c r="BW1" s="58"/>
      <c r="BX1" s="58"/>
      <c r="BY1" s="58"/>
      <c r="BZ1" s="58"/>
      <c r="CA1" s="58"/>
      <c r="CB1" s="58"/>
      <c r="CC1" s="58"/>
      <c r="CD1" s="58"/>
      <c r="CE1" s="58"/>
      <c r="CF1" s="58"/>
      <c r="CG1" s="58"/>
      <c r="CH1" s="58"/>
      <c r="CI1" s="58"/>
      <c r="CJ1" s="58"/>
      <c r="CK1" s="58"/>
      <c r="CL1" s="58"/>
      <c r="CM1" s="58"/>
      <c r="CN1" s="58"/>
      <c r="CO1" s="58"/>
      <c r="CP1" s="58"/>
      <c r="CQ1" s="58"/>
      <c r="CR1" s="58"/>
      <c r="CS1" s="58"/>
      <c r="CT1" s="58"/>
      <c r="CU1" s="58"/>
      <c r="CV1" s="58"/>
      <c r="CW1" s="58"/>
      <c r="CX1" s="58"/>
      <c r="CY1" s="58"/>
      <c r="CZ1" s="58"/>
      <c r="DA1" s="58"/>
      <c r="DB1" s="58"/>
      <c r="DC1" s="58"/>
      <c r="DD1" s="58"/>
      <c r="DE1" s="58"/>
      <c r="DF1" s="58"/>
      <c r="DG1" s="58"/>
      <c r="DH1" s="58"/>
      <c r="DI1" s="58"/>
      <c r="DJ1" s="58"/>
      <c r="DK1" s="58"/>
      <c r="DL1" s="58"/>
      <c r="DM1" s="58"/>
      <c r="DN1" s="58"/>
      <c r="DO1" s="58"/>
      <c r="DP1" s="58"/>
      <c r="DQ1" s="58"/>
      <c r="DR1" s="58"/>
      <c r="DS1" s="58"/>
      <c r="DT1" s="58"/>
      <c r="DU1" s="58"/>
      <c r="DV1" s="58"/>
      <c r="DW1" s="58"/>
      <c r="DX1" s="58"/>
      <c r="DY1" s="58"/>
      <c r="DZ1" s="58"/>
      <c r="EA1" s="58"/>
      <c r="EB1" s="58"/>
      <c r="EC1" s="58"/>
      <c r="ED1" s="58"/>
      <c r="EE1" s="58"/>
      <c r="EF1" s="58"/>
      <c r="EG1" s="58"/>
      <c r="EH1" s="58"/>
      <c r="EI1" s="58"/>
      <c r="EJ1" s="58"/>
      <c r="EK1" s="58"/>
      <c r="EL1" s="58"/>
      <c r="EM1" s="58"/>
      <c r="EN1" s="58"/>
      <c r="EO1" s="58"/>
      <c r="EP1" s="58"/>
      <c r="EQ1" s="58"/>
      <c r="ER1" s="58"/>
      <c r="ES1" s="58"/>
      <c r="ET1" s="58"/>
      <c r="EU1" s="58"/>
      <c r="EV1" s="58"/>
      <c r="EW1" s="58"/>
      <c r="EX1" s="58"/>
      <c r="EY1" s="58"/>
      <c r="EZ1" s="58"/>
      <c r="FA1" s="58"/>
      <c r="FB1" s="58"/>
      <c r="FC1" s="58"/>
      <c r="FD1" s="58"/>
      <c r="FE1" s="58"/>
      <c r="FF1" s="58"/>
      <c r="FG1" s="58"/>
      <c r="FH1" s="58"/>
      <c r="FI1" s="58"/>
      <c r="FJ1" s="58"/>
      <c r="FK1" s="58"/>
      <c r="FL1" s="58"/>
      <c r="FM1" s="58"/>
      <c r="FN1" s="58"/>
      <c r="FO1" s="58"/>
      <c r="FP1" s="58"/>
      <c r="FQ1" s="58"/>
      <c r="FR1" s="58"/>
      <c r="FS1" s="58"/>
      <c r="FT1" s="58"/>
      <c r="FU1" s="58"/>
      <c r="FV1" s="58"/>
      <c r="FW1" s="58"/>
      <c r="FX1" s="58"/>
      <c r="FY1" s="58"/>
      <c r="FZ1" s="58"/>
      <c r="GA1" s="58"/>
      <c r="GB1" s="58"/>
      <c r="GC1" s="58"/>
      <c r="GD1" s="58"/>
      <c r="GE1" s="58"/>
      <c r="GF1" s="58"/>
      <c r="GG1" s="58"/>
      <c r="GH1" s="58"/>
      <c r="GI1" s="58"/>
      <c r="GJ1" s="58"/>
      <c r="GK1" s="58"/>
      <c r="GL1" s="58"/>
      <c r="GM1" s="58"/>
      <c r="GN1" s="58"/>
      <c r="GO1" s="58"/>
      <c r="GP1" s="58"/>
      <c r="GQ1" s="58"/>
      <c r="GR1" s="58"/>
      <c r="GS1" s="58"/>
      <c r="GT1" s="58"/>
      <c r="GU1" s="58"/>
      <c r="GV1" s="58"/>
    </row>
    <row r="2" spans="1:204" s="59" customFormat="1" ht="31.5" x14ac:dyDescent="0.35">
      <c r="A2" s="54" t="s">
        <v>138</v>
      </c>
      <c r="B2" s="75" t="s">
        <v>183</v>
      </c>
      <c r="C2" s="76" t="s">
        <v>182</v>
      </c>
      <c r="D2" s="54" t="s">
        <v>160</v>
      </c>
      <c r="E2" s="61"/>
      <c r="F2" s="61"/>
      <c r="G2" s="58"/>
      <c r="H2" s="58"/>
      <c r="I2" s="58"/>
      <c r="J2" s="58"/>
      <c r="K2" s="58"/>
      <c r="L2" s="58"/>
      <c r="M2" s="58"/>
      <c r="N2" s="58"/>
      <c r="O2" s="58"/>
      <c r="P2" s="58"/>
      <c r="Q2" s="58"/>
      <c r="R2" s="58"/>
      <c r="S2" s="58"/>
      <c r="T2" s="58"/>
      <c r="U2" s="58"/>
      <c r="V2" s="58"/>
      <c r="W2" s="58"/>
      <c r="X2" s="58"/>
      <c r="Y2" s="58"/>
      <c r="Z2" s="58"/>
      <c r="AA2" s="58"/>
      <c r="AB2" s="58"/>
      <c r="AC2" s="58"/>
      <c r="AD2" s="58"/>
      <c r="AE2" s="58"/>
      <c r="AF2" s="58"/>
      <c r="AG2" s="58"/>
      <c r="AH2" s="58"/>
      <c r="AI2" s="58"/>
      <c r="AJ2" s="58"/>
      <c r="AK2" s="58"/>
      <c r="AL2" s="58"/>
      <c r="AM2" s="58"/>
      <c r="AN2" s="58"/>
      <c r="AO2" s="58"/>
      <c r="AP2" s="58"/>
      <c r="AQ2" s="58"/>
      <c r="AR2" s="58"/>
      <c r="AS2" s="58"/>
      <c r="AT2" s="58"/>
      <c r="AU2" s="58"/>
      <c r="AV2" s="58"/>
      <c r="AW2" s="58"/>
      <c r="AX2" s="58"/>
      <c r="AY2" s="58"/>
      <c r="AZ2" s="58"/>
      <c r="BA2" s="58"/>
      <c r="BB2" s="58"/>
      <c r="BC2" s="58"/>
      <c r="BD2" s="58"/>
      <c r="BE2" s="58"/>
      <c r="BF2" s="58"/>
      <c r="BG2" s="58"/>
      <c r="BH2" s="58"/>
      <c r="BI2" s="58"/>
      <c r="BJ2" s="58"/>
      <c r="BK2" s="58"/>
      <c r="BL2" s="58"/>
      <c r="BM2" s="58"/>
      <c r="BN2" s="58"/>
      <c r="BO2" s="58"/>
      <c r="BP2" s="58"/>
      <c r="BQ2" s="58"/>
      <c r="BR2" s="58"/>
      <c r="BS2" s="58"/>
      <c r="BT2" s="58"/>
      <c r="BU2" s="58"/>
      <c r="BV2" s="58"/>
      <c r="BW2" s="58"/>
      <c r="BX2" s="58"/>
      <c r="BY2" s="58"/>
      <c r="BZ2" s="58"/>
      <c r="CA2" s="58"/>
      <c r="CB2" s="58"/>
      <c r="CC2" s="58"/>
      <c r="CD2" s="58"/>
      <c r="CE2" s="58"/>
      <c r="CF2" s="58"/>
      <c r="CG2" s="58"/>
      <c r="CH2" s="58"/>
      <c r="CI2" s="58"/>
      <c r="CJ2" s="58"/>
      <c r="CK2" s="58"/>
      <c r="CL2" s="58"/>
      <c r="CM2" s="58"/>
      <c r="CN2" s="58"/>
      <c r="CO2" s="58"/>
      <c r="CP2" s="58"/>
      <c r="CQ2" s="58"/>
      <c r="CR2" s="58"/>
      <c r="CS2" s="58"/>
      <c r="CT2" s="58"/>
      <c r="CU2" s="58"/>
      <c r="CV2" s="58"/>
      <c r="CW2" s="58"/>
      <c r="CX2" s="58"/>
      <c r="CY2" s="58"/>
      <c r="CZ2" s="58"/>
      <c r="DA2" s="58"/>
      <c r="DB2" s="58"/>
      <c r="DC2" s="58"/>
      <c r="DD2" s="58"/>
      <c r="DE2" s="58"/>
      <c r="DF2" s="58"/>
      <c r="DG2" s="58"/>
      <c r="DH2" s="58"/>
      <c r="DI2" s="58"/>
      <c r="DJ2" s="58"/>
      <c r="DK2" s="58"/>
      <c r="DL2" s="58"/>
      <c r="DM2" s="58"/>
      <c r="DN2" s="58"/>
      <c r="DO2" s="58"/>
      <c r="DP2" s="58"/>
      <c r="DQ2" s="58"/>
      <c r="DR2" s="58"/>
      <c r="DS2" s="58"/>
      <c r="DT2" s="58"/>
      <c r="DU2" s="58"/>
      <c r="DV2" s="58"/>
      <c r="DW2" s="58"/>
      <c r="DX2" s="58"/>
      <c r="DY2" s="58"/>
      <c r="DZ2" s="58"/>
      <c r="EA2" s="58"/>
      <c r="EB2" s="58"/>
      <c r="EC2" s="58"/>
      <c r="ED2" s="58"/>
      <c r="EE2" s="58"/>
      <c r="EF2" s="58"/>
      <c r="EG2" s="58"/>
      <c r="EH2" s="58"/>
      <c r="EI2" s="58"/>
      <c r="EJ2" s="58"/>
      <c r="EK2" s="58"/>
      <c r="EL2" s="58"/>
      <c r="EM2" s="58"/>
      <c r="EN2" s="58"/>
      <c r="EO2" s="58"/>
      <c r="EP2" s="58"/>
      <c r="EQ2" s="58"/>
      <c r="ER2" s="58"/>
      <c r="ES2" s="58"/>
      <c r="ET2" s="58"/>
      <c r="EU2" s="58"/>
      <c r="EV2" s="58"/>
      <c r="EW2" s="58"/>
      <c r="EX2" s="58"/>
      <c r="EY2" s="58"/>
      <c r="EZ2" s="58"/>
      <c r="FA2" s="58"/>
      <c r="FB2" s="58"/>
      <c r="FC2" s="58"/>
      <c r="FD2" s="58"/>
      <c r="FE2" s="58"/>
      <c r="FF2" s="58"/>
      <c r="FG2" s="58"/>
      <c r="FH2" s="58"/>
      <c r="FI2" s="58"/>
      <c r="FJ2" s="58"/>
      <c r="FK2" s="58"/>
      <c r="FL2" s="58"/>
      <c r="FM2" s="58"/>
      <c r="FN2" s="58"/>
      <c r="FO2" s="58"/>
      <c r="FP2" s="58"/>
      <c r="FQ2" s="58"/>
      <c r="FR2" s="58"/>
      <c r="FS2" s="58"/>
      <c r="FT2" s="58"/>
      <c r="FU2" s="58"/>
      <c r="FV2" s="58"/>
      <c r="FW2" s="58"/>
      <c r="FX2" s="58"/>
      <c r="FY2" s="58"/>
      <c r="FZ2" s="58"/>
      <c r="GA2" s="58"/>
      <c r="GB2" s="58"/>
      <c r="GC2" s="58"/>
      <c r="GD2" s="58"/>
      <c r="GE2" s="58"/>
      <c r="GF2" s="58"/>
      <c r="GG2" s="58"/>
      <c r="GH2" s="58"/>
      <c r="GI2" s="58"/>
      <c r="GJ2" s="58"/>
      <c r="GK2" s="58"/>
      <c r="GL2" s="58"/>
      <c r="GM2" s="58"/>
      <c r="GN2" s="58"/>
      <c r="GO2" s="58"/>
      <c r="GP2" s="58"/>
      <c r="GQ2" s="58"/>
      <c r="GR2" s="58"/>
      <c r="GS2" s="58"/>
      <c r="GT2" s="58"/>
      <c r="GU2" s="58"/>
      <c r="GV2" s="58"/>
    </row>
    <row r="3" spans="1:204" s="59" customFormat="1" ht="27.75" x14ac:dyDescent="0.35">
      <c r="A3" s="54" t="s">
        <v>139</v>
      </c>
      <c r="B3" s="62"/>
      <c r="C3" s="63"/>
      <c r="D3" s="54" t="s">
        <v>161</v>
      </c>
      <c r="E3" s="61"/>
      <c r="F3" s="61"/>
      <c r="G3" s="58"/>
      <c r="H3" s="58"/>
      <c r="I3" s="58"/>
      <c r="J3" s="58"/>
      <c r="K3" s="58"/>
      <c r="L3" s="58"/>
      <c r="M3" s="58"/>
      <c r="N3" s="58"/>
      <c r="O3" s="58"/>
      <c r="P3" s="58"/>
      <c r="Q3" s="58"/>
      <c r="R3" s="58"/>
      <c r="S3" s="58"/>
      <c r="T3" s="58"/>
      <c r="U3" s="58"/>
      <c r="V3" s="58"/>
      <c r="W3" s="58"/>
      <c r="X3" s="58"/>
      <c r="Y3" s="58"/>
      <c r="Z3" s="58"/>
      <c r="AA3" s="58"/>
      <c r="AB3" s="58"/>
      <c r="AC3" s="58"/>
      <c r="AD3" s="58"/>
      <c r="AE3" s="58"/>
      <c r="AF3" s="58"/>
      <c r="AG3" s="58"/>
      <c r="AH3" s="58"/>
      <c r="AI3" s="58"/>
      <c r="AJ3" s="58"/>
      <c r="AK3" s="58"/>
      <c r="AL3" s="58"/>
      <c r="AM3" s="58"/>
      <c r="AN3" s="58"/>
      <c r="AO3" s="58"/>
      <c r="AP3" s="58"/>
      <c r="AQ3" s="58"/>
      <c r="AR3" s="58"/>
      <c r="AS3" s="58"/>
      <c r="AT3" s="58"/>
      <c r="AU3" s="58"/>
      <c r="AV3" s="58"/>
      <c r="AW3" s="58"/>
      <c r="AX3" s="58"/>
      <c r="AY3" s="58"/>
      <c r="AZ3" s="58"/>
      <c r="BA3" s="58"/>
      <c r="BB3" s="58"/>
      <c r="BC3" s="58"/>
      <c r="BD3" s="58"/>
      <c r="BE3" s="58"/>
      <c r="BF3" s="58"/>
      <c r="BG3" s="58"/>
      <c r="BH3" s="58"/>
      <c r="BI3" s="58"/>
      <c r="BJ3" s="58"/>
      <c r="BK3" s="58"/>
      <c r="BL3" s="58"/>
      <c r="BM3" s="58"/>
      <c r="BN3" s="58"/>
      <c r="BO3" s="58"/>
      <c r="BP3" s="58"/>
      <c r="BQ3" s="58"/>
      <c r="BR3" s="58"/>
      <c r="BS3" s="58"/>
      <c r="BT3" s="58"/>
      <c r="BU3" s="58"/>
      <c r="BV3" s="58"/>
      <c r="BW3" s="58"/>
      <c r="BX3" s="58"/>
      <c r="BY3" s="58"/>
      <c r="BZ3" s="58"/>
      <c r="CA3" s="58"/>
      <c r="CB3" s="58"/>
      <c r="CC3" s="58"/>
      <c r="CD3" s="58"/>
      <c r="CE3" s="58"/>
      <c r="CF3" s="58"/>
      <c r="CG3" s="58"/>
      <c r="CH3" s="58"/>
      <c r="CI3" s="58"/>
      <c r="CJ3" s="58"/>
      <c r="CK3" s="58"/>
      <c r="CL3" s="58"/>
      <c r="CM3" s="58"/>
      <c r="CN3" s="58"/>
      <c r="CO3" s="58"/>
      <c r="CP3" s="58"/>
      <c r="CQ3" s="58"/>
      <c r="CR3" s="58"/>
      <c r="CS3" s="58"/>
      <c r="CT3" s="58"/>
      <c r="CU3" s="58"/>
      <c r="CV3" s="58"/>
      <c r="CW3" s="58"/>
      <c r="CX3" s="58"/>
      <c r="CY3" s="58"/>
      <c r="CZ3" s="58"/>
      <c r="DA3" s="58"/>
      <c r="DB3" s="58"/>
      <c r="DC3" s="58"/>
      <c r="DD3" s="58"/>
      <c r="DE3" s="58"/>
      <c r="DF3" s="58"/>
      <c r="DG3" s="58"/>
      <c r="DH3" s="58"/>
      <c r="DI3" s="58"/>
      <c r="DJ3" s="58"/>
      <c r="DK3" s="58"/>
      <c r="DL3" s="58"/>
      <c r="DM3" s="58"/>
      <c r="DN3" s="58"/>
      <c r="DO3" s="58"/>
      <c r="DP3" s="58"/>
      <c r="DQ3" s="58"/>
      <c r="DR3" s="58"/>
      <c r="DS3" s="58"/>
      <c r="DT3" s="58"/>
      <c r="DU3" s="58"/>
      <c r="DV3" s="58"/>
      <c r="DW3" s="58"/>
      <c r="DX3" s="58"/>
      <c r="DY3" s="58"/>
      <c r="DZ3" s="58"/>
      <c r="EA3" s="58"/>
      <c r="EB3" s="58"/>
      <c r="EC3" s="58"/>
      <c r="ED3" s="58"/>
      <c r="EE3" s="58"/>
      <c r="EF3" s="58"/>
      <c r="EG3" s="58"/>
      <c r="EH3" s="58"/>
      <c r="EI3" s="58"/>
      <c r="EJ3" s="58"/>
      <c r="EK3" s="58"/>
      <c r="EL3" s="58"/>
      <c r="EM3" s="58"/>
      <c r="EN3" s="58"/>
      <c r="EO3" s="58"/>
      <c r="EP3" s="58"/>
      <c r="EQ3" s="58"/>
      <c r="ER3" s="58"/>
      <c r="ES3" s="58"/>
      <c r="ET3" s="58"/>
      <c r="EU3" s="58"/>
      <c r="EV3" s="58"/>
      <c r="EW3" s="58"/>
      <c r="EX3" s="58"/>
      <c r="EY3" s="58"/>
      <c r="EZ3" s="58"/>
      <c r="FA3" s="58"/>
      <c r="FB3" s="58"/>
      <c r="FC3" s="58"/>
      <c r="FD3" s="58"/>
      <c r="FE3" s="58"/>
      <c r="FF3" s="58"/>
      <c r="FG3" s="58"/>
      <c r="FH3" s="58"/>
      <c r="FI3" s="58"/>
      <c r="FJ3" s="58"/>
      <c r="FK3" s="58"/>
      <c r="FL3" s="58"/>
      <c r="FM3" s="58"/>
      <c r="FN3" s="58"/>
      <c r="FO3" s="58"/>
      <c r="FP3" s="58"/>
      <c r="FQ3" s="58"/>
      <c r="FR3" s="58"/>
      <c r="FS3" s="58"/>
      <c r="FT3" s="58"/>
      <c r="FU3" s="58"/>
      <c r="FV3" s="58"/>
      <c r="FW3" s="58"/>
      <c r="FX3" s="58"/>
      <c r="FY3" s="58"/>
      <c r="FZ3" s="58"/>
      <c r="GA3" s="58"/>
      <c r="GB3" s="58"/>
      <c r="GC3" s="58"/>
      <c r="GD3" s="58"/>
      <c r="GE3" s="58"/>
      <c r="GF3" s="58"/>
      <c r="GG3" s="58"/>
      <c r="GH3" s="58"/>
      <c r="GI3" s="58"/>
      <c r="GJ3" s="58"/>
      <c r="GK3" s="58"/>
      <c r="GL3" s="58"/>
      <c r="GM3" s="58"/>
      <c r="GN3" s="58"/>
      <c r="GO3" s="58"/>
      <c r="GP3" s="58"/>
      <c r="GQ3" s="58"/>
      <c r="GR3" s="58"/>
      <c r="GS3" s="58"/>
      <c r="GT3" s="58"/>
      <c r="GU3" s="58"/>
      <c r="GV3" s="58"/>
    </row>
    <row r="4" spans="1:204" ht="27.75" x14ac:dyDescent="0.35">
      <c r="A4" s="54" t="s">
        <v>140</v>
      </c>
      <c r="B4" s="62"/>
      <c r="C4" s="60"/>
      <c r="D4" s="54" t="s">
        <v>162</v>
      </c>
    </row>
    <row r="5" spans="1:204" ht="27.75" x14ac:dyDescent="0.35">
      <c r="A5" s="54" t="s">
        <v>141</v>
      </c>
      <c r="B5" s="62"/>
      <c r="C5" s="60"/>
      <c r="D5" s="54" t="s">
        <v>163</v>
      </c>
    </row>
    <row r="6" spans="1:204" ht="27.75" x14ac:dyDescent="0.35">
      <c r="A6" s="54" t="s">
        <v>142</v>
      </c>
      <c r="B6" s="62"/>
      <c r="C6" s="60"/>
      <c r="D6" s="54" t="s">
        <v>164</v>
      </c>
    </row>
    <row r="7" spans="1:204" s="68" customFormat="1" ht="27.75" x14ac:dyDescent="0.35">
      <c r="A7" s="54" t="s">
        <v>143</v>
      </c>
      <c r="B7" s="65"/>
      <c r="C7" s="63"/>
      <c r="D7" s="54" t="s">
        <v>165</v>
      </c>
      <c r="E7" s="66"/>
      <c r="F7" s="66"/>
      <c r="G7" s="67"/>
      <c r="H7" s="67"/>
      <c r="I7" s="67"/>
      <c r="J7" s="67"/>
      <c r="K7" s="67"/>
      <c r="L7" s="67"/>
      <c r="M7" s="67"/>
      <c r="N7" s="67"/>
      <c r="O7" s="67"/>
      <c r="P7" s="67"/>
      <c r="Q7" s="67"/>
      <c r="R7" s="67"/>
      <c r="S7" s="67"/>
      <c r="T7" s="67"/>
      <c r="U7" s="67"/>
      <c r="V7" s="67"/>
      <c r="W7" s="67"/>
      <c r="X7" s="67"/>
      <c r="Y7" s="67"/>
      <c r="Z7" s="67"/>
      <c r="AA7" s="67"/>
      <c r="AB7" s="67"/>
      <c r="AC7" s="67"/>
      <c r="AD7" s="67"/>
      <c r="AE7" s="67"/>
      <c r="AF7" s="67"/>
      <c r="AG7" s="67"/>
      <c r="AH7" s="67"/>
      <c r="AI7" s="67"/>
      <c r="AJ7" s="67"/>
      <c r="AK7" s="67"/>
      <c r="AL7" s="67"/>
      <c r="AM7" s="67"/>
      <c r="AN7" s="67"/>
      <c r="AO7" s="67"/>
      <c r="AP7" s="67"/>
      <c r="AQ7" s="67"/>
      <c r="AR7" s="67"/>
      <c r="AS7" s="67"/>
      <c r="AT7" s="67"/>
      <c r="AU7" s="67"/>
      <c r="AV7" s="67"/>
      <c r="AW7" s="67"/>
      <c r="AX7" s="67"/>
      <c r="AY7" s="67"/>
      <c r="AZ7" s="67"/>
      <c r="BA7" s="67"/>
      <c r="BB7" s="67"/>
      <c r="BC7" s="67"/>
      <c r="BD7" s="67"/>
      <c r="BE7" s="67"/>
      <c r="BF7" s="67"/>
      <c r="BG7" s="67"/>
      <c r="BH7" s="67"/>
      <c r="BI7" s="67"/>
      <c r="BJ7" s="67"/>
      <c r="BK7" s="67"/>
      <c r="BL7" s="67"/>
      <c r="BM7" s="67"/>
      <c r="BN7" s="67"/>
      <c r="BO7" s="67"/>
      <c r="BP7" s="67"/>
      <c r="BQ7" s="67"/>
      <c r="BR7" s="67"/>
      <c r="BS7" s="67"/>
      <c r="BT7" s="67"/>
      <c r="BU7" s="67"/>
      <c r="BV7" s="67"/>
      <c r="BW7" s="67"/>
      <c r="BX7" s="67"/>
      <c r="BY7" s="67"/>
      <c r="BZ7" s="67"/>
      <c r="CA7" s="67"/>
      <c r="CB7" s="67"/>
      <c r="CC7" s="67"/>
      <c r="CD7" s="67"/>
      <c r="CE7" s="67"/>
      <c r="CF7" s="67"/>
      <c r="CG7" s="67"/>
      <c r="CH7" s="67"/>
      <c r="CI7" s="67"/>
      <c r="CJ7" s="67"/>
      <c r="CK7" s="67"/>
      <c r="CL7" s="67"/>
      <c r="CM7" s="67"/>
      <c r="CN7" s="67"/>
      <c r="CO7" s="67"/>
      <c r="CP7" s="67"/>
      <c r="CQ7" s="67"/>
      <c r="CR7" s="67"/>
      <c r="CS7" s="67"/>
      <c r="CT7" s="67"/>
      <c r="CU7" s="67"/>
      <c r="CV7" s="67"/>
      <c r="CW7" s="67"/>
      <c r="CX7" s="67"/>
      <c r="CY7" s="67"/>
      <c r="CZ7" s="67"/>
      <c r="DA7" s="67"/>
      <c r="DB7" s="67"/>
      <c r="DC7" s="67"/>
      <c r="DD7" s="67"/>
      <c r="DE7" s="67"/>
      <c r="DF7" s="67"/>
      <c r="DG7" s="67"/>
      <c r="DH7" s="67"/>
      <c r="DI7" s="67"/>
      <c r="DJ7" s="67"/>
      <c r="DK7" s="67"/>
      <c r="DL7" s="67"/>
      <c r="DM7" s="67"/>
      <c r="DN7" s="67"/>
      <c r="DO7" s="67"/>
      <c r="DP7" s="67"/>
      <c r="DQ7" s="67"/>
      <c r="DR7" s="67"/>
      <c r="DS7" s="67"/>
      <c r="DT7" s="67"/>
      <c r="DU7" s="67"/>
      <c r="DV7" s="67"/>
      <c r="DW7" s="67"/>
      <c r="DX7" s="67"/>
      <c r="DY7" s="67"/>
      <c r="DZ7" s="67"/>
      <c r="EA7" s="67"/>
      <c r="EB7" s="67"/>
      <c r="EC7" s="67"/>
      <c r="ED7" s="67"/>
      <c r="EE7" s="67"/>
      <c r="EF7" s="67"/>
      <c r="EG7" s="67"/>
      <c r="EH7" s="67"/>
      <c r="EI7" s="67"/>
      <c r="EJ7" s="67"/>
      <c r="EK7" s="67"/>
      <c r="EL7" s="67"/>
      <c r="EM7" s="67"/>
      <c r="EN7" s="67"/>
      <c r="EO7" s="67"/>
      <c r="EP7" s="67"/>
      <c r="EQ7" s="67"/>
      <c r="ER7" s="67"/>
      <c r="ES7" s="67"/>
      <c r="ET7" s="67"/>
      <c r="EU7" s="67"/>
      <c r="EV7" s="67"/>
      <c r="EW7" s="67"/>
      <c r="EX7" s="67"/>
      <c r="EY7" s="67"/>
      <c r="EZ7" s="67"/>
      <c r="FA7" s="67"/>
      <c r="FB7" s="67"/>
      <c r="FC7" s="67"/>
      <c r="FD7" s="67"/>
      <c r="FE7" s="67"/>
      <c r="FF7" s="67"/>
      <c r="FG7" s="67"/>
      <c r="FH7" s="67"/>
      <c r="FI7" s="67"/>
      <c r="FJ7" s="67"/>
      <c r="FK7" s="67"/>
      <c r="FL7" s="67"/>
      <c r="FM7" s="67"/>
      <c r="FN7" s="67"/>
      <c r="FO7" s="67"/>
      <c r="FP7" s="67"/>
      <c r="FQ7" s="67"/>
      <c r="FR7" s="67"/>
      <c r="FS7" s="67"/>
      <c r="FT7" s="67"/>
      <c r="FU7" s="67"/>
      <c r="FV7" s="67"/>
      <c r="FW7" s="67"/>
      <c r="FX7" s="67"/>
      <c r="FY7" s="67"/>
      <c r="FZ7" s="67"/>
      <c r="GA7" s="67"/>
      <c r="GB7" s="67"/>
      <c r="GC7" s="67"/>
      <c r="GD7" s="67"/>
      <c r="GE7" s="67"/>
      <c r="GF7" s="67"/>
      <c r="GG7" s="67"/>
      <c r="GH7" s="67"/>
      <c r="GI7" s="67"/>
      <c r="GJ7" s="67"/>
      <c r="GK7" s="67"/>
      <c r="GL7" s="67"/>
      <c r="GM7" s="67"/>
      <c r="GN7" s="67"/>
      <c r="GO7" s="67"/>
      <c r="GP7" s="67"/>
      <c r="GQ7" s="67"/>
      <c r="GR7" s="67"/>
      <c r="GS7" s="67"/>
      <c r="GT7" s="67"/>
      <c r="GU7" s="67"/>
      <c r="GV7" s="67"/>
    </row>
    <row r="8" spans="1:204" s="68" customFormat="1" ht="27.75" x14ac:dyDescent="0.35">
      <c r="A8" s="54" t="s">
        <v>144</v>
      </c>
      <c r="B8" s="65"/>
      <c r="C8" s="63"/>
      <c r="D8" s="54" t="s">
        <v>166</v>
      </c>
      <c r="E8" s="66"/>
      <c r="F8" s="66"/>
      <c r="G8" s="67"/>
      <c r="H8" s="67"/>
      <c r="I8" s="67"/>
      <c r="J8" s="67"/>
      <c r="K8" s="67"/>
      <c r="L8" s="67"/>
      <c r="M8" s="67"/>
      <c r="N8" s="67"/>
      <c r="O8" s="67"/>
      <c r="P8" s="67"/>
      <c r="Q8" s="67"/>
      <c r="R8" s="67"/>
      <c r="S8" s="67"/>
      <c r="T8" s="67"/>
      <c r="U8" s="67"/>
      <c r="V8" s="67"/>
      <c r="W8" s="67"/>
      <c r="X8" s="67"/>
      <c r="Y8" s="67"/>
      <c r="Z8" s="67"/>
      <c r="AA8" s="67"/>
      <c r="AB8" s="67"/>
      <c r="AC8" s="67"/>
      <c r="AD8" s="67"/>
      <c r="AE8" s="67"/>
      <c r="AF8" s="67"/>
      <c r="AG8" s="67"/>
      <c r="AH8" s="67"/>
      <c r="AI8" s="67"/>
      <c r="AJ8" s="67"/>
      <c r="AK8" s="67"/>
      <c r="AL8" s="67"/>
      <c r="AM8" s="67"/>
      <c r="AN8" s="67"/>
      <c r="AO8" s="67"/>
      <c r="AP8" s="67"/>
      <c r="AQ8" s="67"/>
      <c r="AR8" s="67"/>
      <c r="AS8" s="67"/>
      <c r="AT8" s="67"/>
      <c r="AU8" s="67"/>
      <c r="AV8" s="67"/>
      <c r="AW8" s="67"/>
      <c r="AX8" s="67"/>
      <c r="AY8" s="67"/>
      <c r="AZ8" s="67"/>
      <c r="BA8" s="67"/>
      <c r="BB8" s="67"/>
      <c r="BC8" s="67"/>
      <c r="BD8" s="67"/>
      <c r="BE8" s="67"/>
      <c r="BF8" s="67"/>
      <c r="BG8" s="67"/>
      <c r="BH8" s="67"/>
      <c r="BI8" s="67"/>
      <c r="BJ8" s="67"/>
      <c r="BK8" s="67"/>
      <c r="BL8" s="67"/>
      <c r="BM8" s="67"/>
      <c r="BN8" s="67"/>
      <c r="BO8" s="67"/>
      <c r="BP8" s="67"/>
      <c r="BQ8" s="67"/>
      <c r="BR8" s="67"/>
      <c r="BS8" s="67"/>
      <c r="BT8" s="67"/>
      <c r="BU8" s="67"/>
      <c r="BV8" s="67"/>
      <c r="BW8" s="67"/>
      <c r="BX8" s="67"/>
      <c r="BY8" s="67"/>
      <c r="BZ8" s="67"/>
      <c r="CA8" s="67"/>
      <c r="CB8" s="67"/>
      <c r="CC8" s="67"/>
      <c r="CD8" s="67"/>
      <c r="CE8" s="67"/>
      <c r="CF8" s="67"/>
      <c r="CG8" s="67"/>
      <c r="CH8" s="67"/>
      <c r="CI8" s="67"/>
      <c r="CJ8" s="67"/>
      <c r="CK8" s="67"/>
      <c r="CL8" s="67"/>
      <c r="CM8" s="67"/>
      <c r="CN8" s="67"/>
      <c r="CO8" s="67"/>
      <c r="CP8" s="67"/>
      <c r="CQ8" s="67"/>
      <c r="CR8" s="67"/>
      <c r="CS8" s="67"/>
      <c r="CT8" s="67"/>
      <c r="CU8" s="67"/>
      <c r="CV8" s="67"/>
      <c r="CW8" s="67"/>
      <c r="CX8" s="67"/>
      <c r="CY8" s="67"/>
      <c r="CZ8" s="67"/>
      <c r="DA8" s="67"/>
      <c r="DB8" s="67"/>
      <c r="DC8" s="67"/>
      <c r="DD8" s="67"/>
      <c r="DE8" s="67"/>
      <c r="DF8" s="67"/>
      <c r="DG8" s="67"/>
      <c r="DH8" s="67"/>
      <c r="DI8" s="67"/>
      <c r="DJ8" s="67"/>
      <c r="DK8" s="67"/>
      <c r="DL8" s="67"/>
      <c r="DM8" s="67"/>
      <c r="DN8" s="67"/>
      <c r="DO8" s="67"/>
      <c r="DP8" s="67"/>
      <c r="DQ8" s="67"/>
      <c r="DR8" s="67"/>
      <c r="DS8" s="67"/>
      <c r="DT8" s="67"/>
      <c r="DU8" s="67"/>
      <c r="DV8" s="67"/>
      <c r="DW8" s="67"/>
      <c r="DX8" s="67"/>
      <c r="DY8" s="67"/>
      <c r="DZ8" s="67"/>
      <c r="EA8" s="67"/>
      <c r="EB8" s="67"/>
      <c r="EC8" s="67"/>
      <c r="ED8" s="67"/>
      <c r="EE8" s="67"/>
      <c r="EF8" s="67"/>
      <c r="EG8" s="67"/>
      <c r="EH8" s="67"/>
      <c r="EI8" s="67"/>
      <c r="EJ8" s="67"/>
      <c r="EK8" s="67"/>
      <c r="EL8" s="67"/>
      <c r="EM8" s="67"/>
      <c r="EN8" s="67"/>
      <c r="EO8" s="67"/>
      <c r="EP8" s="67"/>
      <c r="EQ8" s="67"/>
      <c r="ER8" s="67"/>
      <c r="ES8" s="67"/>
      <c r="ET8" s="67"/>
      <c r="EU8" s="67"/>
      <c r="EV8" s="67"/>
      <c r="EW8" s="67"/>
      <c r="EX8" s="67"/>
      <c r="EY8" s="67"/>
      <c r="EZ8" s="67"/>
      <c r="FA8" s="67"/>
      <c r="FB8" s="67"/>
      <c r="FC8" s="67"/>
      <c r="FD8" s="67"/>
      <c r="FE8" s="67"/>
      <c r="FF8" s="67"/>
      <c r="FG8" s="67"/>
      <c r="FH8" s="67"/>
      <c r="FI8" s="67"/>
      <c r="FJ8" s="67"/>
      <c r="FK8" s="67"/>
      <c r="FL8" s="67"/>
      <c r="FM8" s="67"/>
      <c r="FN8" s="67"/>
      <c r="FO8" s="67"/>
      <c r="FP8" s="67"/>
      <c r="FQ8" s="67"/>
      <c r="FR8" s="67"/>
      <c r="FS8" s="67"/>
      <c r="FT8" s="67"/>
      <c r="FU8" s="67"/>
      <c r="FV8" s="67"/>
      <c r="FW8" s="67"/>
      <c r="FX8" s="67"/>
      <c r="FY8" s="67"/>
      <c r="FZ8" s="67"/>
      <c r="GA8" s="67"/>
      <c r="GB8" s="67"/>
      <c r="GC8" s="67"/>
      <c r="GD8" s="67"/>
      <c r="GE8" s="67"/>
      <c r="GF8" s="67"/>
      <c r="GG8" s="67"/>
      <c r="GH8" s="67"/>
      <c r="GI8" s="67"/>
      <c r="GJ8" s="67"/>
      <c r="GK8" s="67"/>
      <c r="GL8" s="67"/>
      <c r="GM8" s="67"/>
      <c r="GN8" s="67"/>
      <c r="GO8" s="67"/>
      <c r="GP8" s="67"/>
      <c r="GQ8" s="67"/>
      <c r="GR8" s="67"/>
      <c r="GS8" s="67"/>
      <c r="GT8" s="67"/>
      <c r="GU8" s="67"/>
      <c r="GV8" s="67"/>
    </row>
    <row r="9" spans="1:204" s="68" customFormat="1" ht="27.75" x14ac:dyDescent="0.35">
      <c r="A9" s="54" t="s">
        <v>145</v>
      </c>
      <c r="B9" s="65"/>
      <c r="C9" s="63"/>
      <c r="D9" s="54" t="s">
        <v>167</v>
      </c>
      <c r="E9" s="66"/>
      <c r="F9" s="66"/>
      <c r="G9" s="67"/>
      <c r="H9" s="67"/>
      <c r="I9" s="67"/>
      <c r="J9" s="67"/>
      <c r="K9" s="67"/>
      <c r="L9" s="67"/>
      <c r="M9" s="67"/>
      <c r="N9" s="67"/>
      <c r="O9" s="67"/>
      <c r="P9" s="67"/>
      <c r="Q9" s="67"/>
      <c r="R9" s="67"/>
      <c r="S9" s="67"/>
      <c r="T9" s="67"/>
      <c r="U9" s="67"/>
      <c r="V9" s="67"/>
      <c r="W9" s="67"/>
      <c r="X9" s="67"/>
      <c r="Y9" s="67"/>
      <c r="Z9" s="67"/>
      <c r="AA9" s="67"/>
      <c r="AB9" s="67"/>
      <c r="AC9" s="67"/>
      <c r="AD9" s="67"/>
      <c r="AE9" s="67"/>
      <c r="AF9" s="67"/>
      <c r="AG9" s="67"/>
      <c r="AH9" s="67"/>
      <c r="AI9" s="67"/>
      <c r="AJ9" s="67"/>
      <c r="AK9" s="67"/>
      <c r="AL9" s="67"/>
      <c r="AM9" s="67"/>
      <c r="AN9" s="67"/>
      <c r="AO9" s="67"/>
      <c r="AP9" s="67"/>
      <c r="AQ9" s="67"/>
      <c r="AR9" s="67"/>
      <c r="AS9" s="67"/>
      <c r="AT9" s="67"/>
      <c r="AU9" s="67"/>
      <c r="AV9" s="67"/>
      <c r="AW9" s="67"/>
      <c r="AX9" s="67"/>
      <c r="AY9" s="67"/>
      <c r="AZ9" s="67"/>
      <c r="BA9" s="67"/>
      <c r="BB9" s="67"/>
      <c r="BC9" s="67"/>
      <c r="BD9" s="67"/>
      <c r="BE9" s="67"/>
      <c r="BF9" s="67"/>
      <c r="BG9" s="67"/>
      <c r="BH9" s="67"/>
      <c r="BI9" s="67"/>
      <c r="BJ9" s="67"/>
      <c r="BK9" s="67"/>
      <c r="BL9" s="67"/>
      <c r="BM9" s="67"/>
      <c r="BN9" s="67"/>
      <c r="BO9" s="67"/>
      <c r="BP9" s="67"/>
      <c r="BQ9" s="67"/>
      <c r="BR9" s="67"/>
      <c r="BS9" s="67"/>
      <c r="BT9" s="67"/>
      <c r="BU9" s="67"/>
      <c r="BV9" s="67"/>
      <c r="BW9" s="67"/>
      <c r="BX9" s="67"/>
      <c r="BY9" s="67"/>
      <c r="BZ9" s="67"/>
      <c r="CA9" s="67"/>
      <c r="CB9" s="67"/>
      <c r="CC9" s="67"/>
      <c r="CD9" s="67"/>
      <c r="CE9" s="67"/>
      <c r="CF9" s="67"/>
      <c r="CG9" s="67"/>
      <c r="CH9" s="67"/>
      <c r="CI9" s="67"/>
      <c r="CJ9" s="67"/>
      <c r="CK9" s="67"/>
      <c r="CL9" s="67"/>
      <c r="CM9" s="67"/>
      <c r="CN9" s="67"/>
      <c r="CO9" s="67"/>
      <c r="CP9" s="67"/>
      <c r="CQ9" s="67"/>
      <c r="CR9" s="67"/>
      <c r="CS9" s="67"/>
      <c r="CT9" s="67"/>
      <c r="CU9" s="67"/>
      <c r="CV9" s="67"/>
      <c r="CW9" s="67"/>
      <c r="CX9" s="67"/>
      <c r="CY9" s="67"/>
      <c r="CZ9" s="67"/>
      <c r="DA9" s="67"/>
      <c r="DB9" s="67"/>
      <c r="DC9" s="67"/>
      <c r="DD9" s="67"/>
      <c r="DE9" s="67"/>
      <c r="DF9" s="67"/>
      <c r="DG9" s="67"/>
      <c r="DH9" s="67"/>
      <c r="DI9" s="67"/>
      <c r="DJ9" s="67"/>
      <c r="DK9" s="67"/>
      <c r="DL9" s="67"/>
      <c r="DM9" s="67"/>
      <c r="DN9" s="67"/>
      <c r="DO9" s="67"/>
      <c r="DP9" s="67"/>
      <c r="DQ9" s="67"/>
      <c r="DR9" s="67"/>
      <c r="DS9" s="67"/>
      <c r="DT9" s="67"/>
      <c r="DU9" s="67"/>
      <c r="DV9" s="67"/>
      <c r="DW9" s="67"/>
      <c r="DX9" s="67"/>
      <c r="DY9" s="67"/>
      <c r="DZ9" s="67"/>
      <c r="EA9" s="67"/>
      <c r="EB9" s="67"/>
      <c r="EC9" s="67"/>
      <c r="ED9" s="67"/>
      <c r="EE9" s="67"/>
      <c r="EF9" s="67"/>
      <c r="EG9" s="67"/>
      <c r="EH9" s="67"/>
      <c r="EI9" s="67"/>
      <c r="EJ9" s="67"/>
      <c r="EK9" s="67"/>
      <c r="EL9" s="67"/>
      <c r="EM9" s="67"/>
      <c r="EN9" s="67"/>
      <c r="EO9" s="67"/>
      <c r="EP9" s="67"/>
      <c r="EQ9" s="67"/>
      <c r="ER9" s="67"/>
      <c r="ES9" s="67"/>
      <c r="ET9" s="67"/>
      <c r="EU9" s="67"/>
      <c r="EV9" s="67"/>
      <c r="EW9" s="67"/>
      <c r="EX9" s="67"/>
      <c r="EY9" s="67"/>
      <c r="EZ9" s="67"/>
      <c r="FA9" s="67"/>
      <c r="FB9" s="67"/>
      <c r="FC9" s="67"/>
      <c r="FD9" s="67"/>
      <c r="FE9" s="67"/>
      <c r="FF9" s="67"/>
      <c r="FG9" s="67"/>
      <c r="FH9" s="67"/>
      <c r="FI9" s="67"/>
      <c r="FJ9" s="67"/>
      <c r="FK9" s="67"/>
      <c r="FL9" s="67"/>
      <c r="FM9" s="67"/>
      <c r="FN9" s="67"/>
      <c r="FO9" s="67"/>
      <c r="FP9" s="67"/>
      <c r="FQ9" s="67"/>
      <c r="FR9" s="67"/>
      <c r="FS9" s="67"/>
      <c r="FT9" s="67"/>
      <c r="FU9" s="67"/>
      <c r="FV9" s="67"/>
      <c r="FW9" s="67"/>
      <c r="FX9" s="67"/>
      <c r="FY9" s="67"/>
      <c r="FZ9" s="67"/>
      <c r="GA9" s="67"/>
      <c r="GB9" s="67"/>
      <c r="GC9" s="67"/>
      <c r="GD9" s="67"/>
      <c r="GE9" s="67"/>
      <c r="GF9" s="67"/>
      <c r="GG9" s="67"/>
      <c r="GH9" s="67"/>
      <c r="GI9" s="67"/>
      <c r="GJ9" s="67"/>
      <c r="GK9" s="67"/>
      <c r="GL9" s="67"/>
      <c r="GM9" s="67"/>
      <c r="GN9" s="67"/>
      <c r="GO9" s="67"/>
      <c r="GP9" s="67"/>
      <c r="GQ9" s="67"/>
      <c r="GR9" s="67"/>
      <c r="GS9" s="67"/>
      <c r="GT9" s="67"/>
      <c r="GU9" s="67"/>
      <c r="GV9" s="67"/>
    </row>
    <row r="10" spans="1:204" s="68" customFormat="1" ht="27.75" x14ac:dyDescent="0.35">
      <c r="A10" s="54" t="s">
        <v>146</v>
      </c>
      <c r="B10" s="65"/>
      <c r="C10" s="63"/>
      <c r="D10" s="54" t="s">
        <v>168</v>
      </c>
      <c r="E10" s="66"/>
      <c r="F10" s="66"/>
      <c r="G10" s="67"/>
      <c r="H10" s="67"/>
      <c r="I10" s="67"/>
      <c r="J10" s="67"/>
      <c r="K10" s="67"/>
      <c r="L10" s="67"/>
      <c r="M10" s="67"/>
      <c r="N10" s="67"/>
      <c r="O10" s="67"/>
      <c r="P10" s="67"/>
      <c r="Q10" s="67"/>
      <c r="R10" s="67"/>
      <c r="S10" s="67"/>
      <c r="T10" s="67"/>
      <c r="U10" s="67"/>
      <c r="V10" s="67"/>
      <c r="W10" s="67"/>
      <c r="X10" s="67"/>
      <c r="Y10" s="67"/>
      <c r="Z10" s="67"/>
      <c r="AA10" s="67"/>
      <c r="AB10" s="67"/>
      <c r="AC10" s="67"/>
      <c r="AD10" s="67"/>
      <c r="AE10" s="67"/>
      <c r="AF10" s="67"/>
      <c r="AG10" s="67"/>
      <c r="AH10" s="67"/>
      <c r="AI10" s="67"/>
      <c r="AJ10" s="67"/>
      <c r="AK10" s="67"/>
      <c r="AL10" s="67"/>
      <c r="AM10" s="67"/>
      <c r="AN10" s="67"/>
      <c r="AO10" s="67"/>
      <c r="AP10" s="67"/>
      <c r="AQ10" s="67"/>
      <c r="AR10" s="67"/>
      <c r="AS10" s="67"/>
      <c r="AT10" s="67"/>
      <c r="AU10" s="67"/>
      <c r="AV10" s="67"/>
      <c r="AW10" s="67"/>
      <c r="AX10" s="67"/>
      <c r="AY10" s="67"/>
      <c r="AZ10" s="67"/>
      <c r="BA10" s="67"/>
      <c r="BB10" s="67"/>
      <c r="BC10" s="67"/>
      <c r="BD10" s="67"/>
      <c r="BE10" s="67"/>
      <c r="BF10" s="67"/>
      <c r="BG10" s="67"/>
      <c r="BH10" s="67"/>
      <c r="BI10" s="67"/>
      <c r="BJ10" s="67"/>
      <c r="BK10" s="67"/>
      <c r="BL10" s="67"/>
      <c r="BM10" s="67"/>
      <c r="BN10" s="67"/>
      <c r="BO10" s="67"/>
      <c r="BP10" s="67"/>
      <c r="BQ10" s="67"/>
      <c r="BR10" s="67"/>
      <c r="BS10" s="67"/>
      <c r="BT10" s="67"/>
      <c r="BU10" s="67"/>
      <c r="BV10" s="67"/>
      <c r="BW10" s="67"/>
      <c r="BX10" s="67"/>
      <c r="BY10" s="67"/>
      <c r="BZ10" s="67"/>
      <c r="CA10" s="67"/>
      <c r="CB10" s="67"/>
      <c r="CC10" s="67"/>
      <c r="CD10" s="67"/>
      <c r="CE10" s="67"/>
      <c r="CF10" s="67"/>
      <c r="CG10" s="67"/>
      <c r="CH10" s="67"/>
      <c r="CI10" s="67"/>
      <c r="CJ10" s="67"/>
      <c r="CK10" s="67"/>
      <c r="CL10" s="67"/>
      <c r="CM10" s="67"/>
      <c r="CN10" s="67"/>
      <c r="CO10" s="67"/>
      <c r="CP10" s="67"/>
      <c r="CQ10" s="67"/>
      <c r="CR10" s="67"/>
      <c r="CS10" s="67"/>
      <c r="CT10" s="67"/>
      <c r="CU10" s="67"/>
      <c r="CV10" s="67"/>
      <c r="CW10" s="67"/>
      <c r="CX10" s="67"/>
      <c r="CY10" s="67"/>
      <c r="CZ10" s="67"/>
      <c r="DA10" s="67"/>
      <c r="DB10" s="67"/>
      <c r="DC10" s="67"/>
      <c r="DD10" s="67"/>
      <c r="DE10" s="67"/>
      <c r="DF10" s="67"/>
      <c r="DG10" s="67"/>
      <c r="DH10" s="67"/>
      <c r="DI10" s="67"/>
      <c r="DJ10" s="67"/>
      <c r="DK10" s="67"/>
      <c r="DL10" s="67"/>
      <c r="DM10" s="67"/>
      <c r="DN10" s="67"/>
      <c r="DO10" s="67"/>
      <c r="DP10" s="67"/>
      <c r="DQ10" s="67"/>
      <c r="DR10" s="67"/>
      <c r="DS10" s="67"/>
      <c r="DT10" s="67"/>
      <c r="DU10" s="67"/>
      <c r="DV10" s="67"/>
      <c r="DW10" s="67"/>
      <c r="DX10" s="67"/>
      <c r="DY10" s="67"/>
      <c r="DZ10" s="67"/>
      <c r="EA10" s="67"/>
      <c r="EB10" s="67"/>
      <c r="EC10" s="67"/>
      <c r="ED10" s="67"/>
      <c r="EE10" s="67"/>
      <c r="EF10" s="67"/>
      <c r="EG10" s="67"/>
      <c r="EH10" s="67"/>
      <c r="EI10" s="67"/>
      <c r="EJ10" s="67"/>
      <c r="EK10" s="67"/>
      <c r="EL10" s="67"/>
      <c r="EM10" s="67"/>
      <c r="EN10" s="67"/>
      <c r="EO10" s="67"/>
      <c r="EP10" s="67"/>
      <c r="EQ10" s="67"/>
      <c r="ER10" s="67"/>
      <c r="ES10" s="67"/>
      <c r="ET10" s="67"/>
      <c r="EU10" s="67"/>
      <c r="EV10" s="67"/>
      <c r="EW10" s="67"/>
      <c r="EX10" s="67"/>
      <c r="EY10" s="67"/>
      <c r="EZ10" s="67"/>
      <c r="FA10" s="67"/>
      <c r="FB10" s="67"/>
      <c r="FC10" s="67"/>
      <c r="FD10" s="67"/>
      <c r="FE10" s="67"/>
      <c r="FF10" s="67"/>
      <c r="FG10" s="67"/>
      <c r="FH10" s="67"/>
      <c r="FI10" s="67"/>
      <c r="FJ10" s="67"/>
      <c r="FK10" s="67"/>
      <c r="FL10" s="67"/>
      <c r="FM10" s="67"/>
      <c r="FN10" s="67"/>
      <c r="FO10" s="67"/>
      <c r="FP10" s="67"/>
      <c r="FQ10" s="67"/>
      <c r="FR10" s="67"/>
      <c r="FS10" s="67"/>
      <c r="FT10" s="67"/>
      <c r="FU10" s="67"/>
      <c r="FV10" s="67"/>
      <c r="FW10" s="67"/>
      <c r="FX10" s="67"/>
      <c r="FY10" s="67"/>
      <c r="FZ10" s="67"/>
      <c r="GA10" s="67"/>
      <c r="GB10" s="67"/>
      <c r="GC10" s="67"/>
      <c r="GD10" s="67"/>
      <c r="GE10" s="67"/>
      <c r="GF10" s="67"/>
      <c r="GG10" s="67"/>
      <c r="GH10" s="67"/>
      <c r="GI10" s="67"/>
      <c r="GJ10" s="67"/>
      <c r="GK10" s="67"/>
      <c r="GL10" s="67"/>
      <c r="GM10" s="67"/>
      <c r="GN10" s="67"/>
      <c r="GO10" s="67"/>
      <c r="GP10" s="67"/>
      <c r="GQ10" s="67"/>
      <c r="GR10" s="67"/>
      <c r="GS10" s="67"/>
      <c r="GT10" s="67"/>
      <c r="GU10" s="67"/>
      <c r="GV10" s="67"/>
    </row>
    <row r="11" spans="1:204" s="68" customFormat="1" ht="27.75" x14ac:dyDescent="0.35">
      <c r="A11" s="54" t="s">
        <v>147</v>
      </c>
      <c r="B11" s="69"/>
      <c r="C11" s="70"/>
      <c r="D11" s="54" t="s">
        <v>169</v>
      </c>
      <c r="E11" s="66"/>
      <c r="F11" s="66"/>
      <c r="G11" s="67"/>
      <c r="H11" s="67"/>
      <c r="I11" s="67"/>
      <c r="J11" s="67"/>
      <c r="K11" s="67"/>
      <c r="L11" s="67"/>
      <c r="M11" s="67"/>
      <c r="N11" s="67"/>
      <c r="O11" s="67"/>
      <c r="P11" s="67"/>
      <c r="Q11" s="67"/>
      <c r="R11" s="67"/>
      <c r="S11" s="67"/>
      <c r="T11" s="67"/>
      <c r="U11" s="67"/>
      <c r="V11" s="67"/>
      <c r="W11" s="67"/>
      <c r="X11" s="67"/>
      <c r="Y11" s="67"/>
      <c r="Z11" s="67"/>
      <c r="AA11" s="67"/>
      <c r="AB11" s="67"/>
      <c r="AC11" s="67"/>
      <c r="AD11" s="67"/>
      <c r="AE11" s="67"/>
      <c r="AF11" s="67"/>
      <c r="AG11" s="67"/>
      <c r="AH11" s="67"/>
      <c r="AI11" s="67"/>
      <c r="AJ11" s="67"/>
      <c r="AK11" s="67"/>
      <c r="AL11" s="67"/>
      <c r="AM11" s="67"/>
      <c r="AN11" s="67"/>
      <c r="AO11" s="67"/>
      <c r="AP11" s="67"/>
      <c r="AQ11" s="67"/>
      <c r="AR11" s="67"/>
      <c r="AS11" s="67"/>
      <c r="AT11" s="67"/>
      <c r="AU11" s="67"/>
      <c r="AV11" s="67"/>
      <c r="AW11" s="67"/>
      <c r="AX11" s="67"/>
      <c r="AY11" s="67"/>
      <c r="AZ11" s="67"/>
      <c r="BA11" s="67"/>
      <c r="BB11" s="67"/>
      <c r="BC11" s="67"/>
      <c r="BD11" s="67"/>
      <c r="BE11" s="67"/>
      <c r="BF11" s="67"/>
      <c r="BG11" s="67"/>
      <c r="BH11" s="67"/>
      <c r="BI11" s="67"/>
      <c r="BJ11" s="67"/>
      <c r="BK11" s="67"/>
      <c r="BL11" s="67"/>
      <c r="BM11" s="67"/>
      <c r="BN11" s="67"/>
      <c r="BO11" s="67"/>
      <c r="BP11" s="67"/>
      <c r="BQ11" s="67"/>
      <c r="BR11" s="67"/>
      <c r="BS11" s="67"/>
      <c r="BT11" s="67"/>
      <c r="BU11" s="67"/>
      <c r="BV11" s="67"/>
      <c r="BW11" s="67"/>
      <c r="BX11" s="67"/>
      <c r="BY11" s="67"/>
      <c r="BZ11" s="67"/>
      <c r="CA11" s="67"/>
      <c r="CB11" s="67"/>
      <c r="CC11" s="67"/>
      <c r="CD11" s="67"/>
      <c r="CE11" s="67"/>
      <c r="CF11" s="67"/>
      <c r="CG11" s="67"/>
      <c r="CH11" s="67"/>
      <c r="CI11" s="67"/>
      <c r="CJ11" s="67"/>
      <c r="CK11" s="67"/>
      <c r="CL11" s="67"/>
      <c r="CM11" s="67"/>
      <c r="CN11" s="67"/>
      <c r="CO11" s="67"/>
      <c r="CP11" s="67"/>
      <c r="CQ11" s="67"/>
      <c r="CR11" s="67"/>
      <c r="CS11" s="67"/>
      <c r="CT11" s="67"/>
      <c r="CU11" s="67"/>
      <c r="CV11" s="67"/>
      <c r="CW11" s="67"/>
      <c r="CX11" s="67"/>
      <c r="CY11" s="67"/>
      <c r="CZ11" s="67"/>
      <c r="DA11" s="67"/>
      <c r="DB11" s="67"/>
      <c r="DC11" s="67"/>
      <c r="DD11" s="67"/>
      <c r="DE11" s="67"/>
      <c r="DF11" s="67"/>
      <c r="DG11" s="67"/>
      <c r="DH11" s="67"/>
      <c r="DI11" s="67"/>
      <c r="DJ11" s="67"/>
      <c r="DK11" s="67"/>
      <c r="DL11" s="67"/>
      <c r="DM11" s="67"/>
      <c r="DN11" s="67"/>
      <c r="DO11" s="67"/>
      <c r="DP11" s="67"/>
      <c r="DQ11" s="67"/>
      <c r="DR11" s="67"/>
      <c r="DS11" s="67"/>
      <c r="DT11" s="67"/>
      <c r="DU11" s="67"/>
      <c r="DV11" s="67"/>
      <c r="DW11" s="67"/>
      <c r="DX11" s="67"/>
      <c r="DY11" s="67"/>
      <c r="DZ11" s="67"/>
      <c r="EA11" s="67"/>
      <c r="EB11" s="67"/>
      <c r="EC11" s="67"/>
      <c r="ED11" s="67"/>
      <c r="EE11" s="67"/>
      <c r="EF11" s="67"/>
      <c r="EG11" s="67"/>
      <c r="EH11" s="67"/>
      <c r="EI11" s="67"/>
      <c r="EJ11" s="67"/>
      <c r="EK11" s="67"/>
      <c r="EL11" s="67"/>
      <c r="EM11" s="67"/>
      <c r="EN11" s="67"/>
      <c r="EO11" s="67"/>
      <c r="EP11" s="67"/>
      <c r="EQ11" s="67"/>
      <c r="ER11" s="67"/>
      <c r="ES11" s="67"/>
      <c r="ET11" s="67"/>
      <c r="EU11" s="67"/>
      <c r="EV11" s="67"/>
      <c r="EW11" s="67"/>
      <c r="EX11" s="67"/>
      <c r="EY11" s="67"/>
      <c r="EZ11" s="67"/>
      <c r="FA11" s="67"/>
      <c r="FB11" s="67"/>
      <c r="FC11" s="67"/>
      <c r="FD11" s="67"/>
      <c r="FE11" s="67"/>
      <c r="FF11" s="67"/>
      <c r="FG11" s="67"/>
      <c r="FH11" s="67"/>
      <c r="FI11" s="67"/>
      <c r="FJ11" s="67"/>
      <c r="FK11" s="67"/>
      <c r="FL11" s="67"/>
      <c r="FM11" s="67"/>
      <c r="FN11" s="67"/>
      <c r="FO11" s="67"/>
      <c r="FP11" s="67"/>
      <c r="FQ11" s="67"/>
      <c r="FR11" s="67"/>
      <c r="FS11" s="67"/>
      <c r="FT11" s="67"/>
      <c r="FU11" s="67"/>
      <c r="FV11" s="67"/>
      <c r="FW11" s="67"/>
      <c r="FX11" s="67"/>
      <c r="FY11" s="67"/>
      <c r="FZ11" s="67"/>
      <c r="GA11" s="67"/>
      <c r="GB11" s="67"/>
      <c r="GC11" s="67"/>
      <c r="GD11" s="67"/>
      <c r="GE11" s="67"/>
      <c r="GF11" s="67"/>
      <c r="GG11" s="67"/>
      <c r="GH11" s="67"/>
      <c r="GI11" s="67"/>
      <c r="GJ11" s="67"/>
      <c r="GK11" s="67"/>
      <c r="GL11" s="67"/>
      <c r="GM11" s="67"/>
      <c r="GN11" s="67"/>
      <c r="GO11" s="67"/>
      <c r="GP11" s="67"/>
      <c r="GQ11" s="67"/>
      <c r="GR11" s="67"/>
      <c r="GS11" s="67"/>
      <c r="GT11" s="67"/>
      <c r="GU11" s="67"/>
      <c r="GV11" s="67"/>
    </row>
    <row r="12" spans="1:204" s="68" customFormat="1" ht="27.75" x14ac:dyDescent="0.35">
      <c r="A12" s="54" t="s">
        <v>148</v>
      </c>
      <c r="B12" s="69"/>
      <c r="C12" s="70"/>
      <c r="D12" s="54" t="s">
        <v>170</v>
      </c>
      <c r="E12" s="66"/>
      <c r="F12" s="66"/>
      <c r="G12" s="67"/>
      <c r="H12" s="67"/>
      <c r="I12" s="67"/>
      <c r="J12" s="67"/>
      <c r="K12" s="67"/>
      <c r="L12" s="67"/>
      <c r="M12" s="67"/>
      <c r="N12" s="67"/>
      <c r="O12" s="67"/>
      <c r="P12" s="67"/>
      <c r="Q12" s="67"/>
      <c r="R12" s="67"/>
      <c r="S12" s="67"/>
      <c r="T12" s="67"/>
      <c r="U12" s="67"/>
      <c r="V12" s="67"/>
      <c r="W12" s="67"/>
      <c r="X12" s="67"/>
      <c r="Y12" s="67"/>
      <c r="Z12" s="67"/>
      <c r="AA12" s="67"/>
      <c r="AB12" s="67"/>
      <c r="AC12" s="67"/>
      <c r="AD12" s="67"/>
      <c r="AE12" s="67"/>
      <c r="AF12" s="67"/>
      <c r="AG12" s="67"/>
      <c r="AH12" s="67"/>
      <c r="AI12" s="67"/>
      <c r="AJ12" s="67"/>
      <c r="AK12" s="67"/>
      <c r="AL12" s="67"/>
      <c r="AM12" s="67"/>
      <c r="AN12" s="67"/>
      <c r="AO12" s="67"/>
      <c r="AP12" s="67"/>
      <c r="AQ12" s="67"/>
      <c r="AR12" s="67"/>
      <c r="AS12" s="67"/>
      <c r="AT12" s="67"/>
      <c r="AU12" s="67"/>
      <c r="AV12" s="67"/>
      <c r="AW12" s="67"/>
      <c r="AX12" s="67"/>
      <c r="AY12" s="67"/>
      <c r="AZ12" s="67"/>
      <c r="BA12" s="67"/>
      <c r="BB12" s="67"/>
      <c r="BC12" s="67"/>
      <c r="BD12" s="67"/>
      <c r="BE12" s="67"/>
      <c r="BF12" s="67"/>
      <c r="BG12" s="67"/>
      <c r="BH12" s="67"/>
      <c r="BI12" s="67"/>
      <c r="BJ12" s="67"/>
      <c r="BK12" s="67"/>
      <c r="BL12" s="67"/>
      <c r="BM12" s="67"/>
      <c r="BN12" s="67"/>
      <c r="BO12" s="67"/>
      <c r="BP12" s="67"/>
      <c r="BQ12" s="67"/>
      <c r="BR12" s="67"/>
      <c r="BS12" s="67"/>
      <c r="BT12" s="67"/>
      <c r="BU12" s="67"/>
      <c r="BV12" s="67"/>
      <c r="BW12" s="67"/>
      <c r="BX12" s="67"/>
      <c r="BY12" s="67"/>
      <c r="BZ12" s="67"/>
      <c r="CA12" s="67"/>
      <c r="CB12" s="67"/>
      <c r="CC12" s="67"/>
      <c r="CD12" s="67"/>
      <c r="CE12" s="67"/>
      <c r="CF12" s="67"/>
      <c r="CG12" s="67"/>
      <c r="CH12" s="67"/>
      <c r="CI12" s="67"/>
      <c r="CJ12" s="67"/>
      <c r="CK12" s="67"/>
      <c r="CL12" s="67"/>
      <c r="CM12" s="67"/>
      <c r="CN12" s="67"/>
      <c r="CO12" s="67"/>
      <c r="CP12" s="67"/>
      <c r="CQ12" s="67"/>
      <c r="CR12" s="67"/>
      <c r="CS12" s="67"/>
      <c r="CT12" s="67"/>
      <c r="CU12" s="67"/>
      <c r="CV12" s="67"/>
      <c r="CW12" s="67"/>
      <c r="CX12" s="67"/>
      <c r="CY12" s="67"/>
      <c r="CZ12" s="67"/>
      <c r="DA12" s="67"/>
      <c r="DB12" s="67"/>
      <c r="DC12" s="67"/>
      <c r="DD12" s="67"/>
      <c r="DE12" s="67"/>
      <c r="DF12" s="67"/>
      <c r="DG12" s="67"/>
      <c r="DH12" s="67"/>
      <c r="DI12" s="67"/>
      <c r="DJ12" s="67"/>
      <c r="DK12" s="67"/>
      <c r="DL12" s="67"/>
      <c r="DM12" s="67"/>
      <c r="DN12" s="67"/>
      <c r="DO12" s="67"/>
      <c r="DP12" s="67"/>
      <c r="DQ12" s="67"/>
      <c r="DR12" s="67"/>
      <c r="DS12" s="67"/>
      <c r="DT12" s="67"/>
      <c r="DU12" s="67"/>
      <c r="DV12" s="67"/>
      <c r="DW12" s="67"/>
      <c r="DX12" s="67"/>
      <c r="DY12" s="67"/>
      <c r="DZ12" s="67"/>
      <c r="EA12" s="67"/>
      <c r="EB12" s="67"/>
      <c r="EC12" s="67"/>
      <c r="ED12" s="67"/>
      <c r="EE12" s="67"/>
      <c r="EF12" s="67"/>
      <c r="EG12" s="67"/>
      <c r="EH12" s="67"/>
      <c r="EI12" s="67"/>
      <c r="EJ12" s="67"/>
      <c r="EK12" s="67"/>
      <c r="EL12" s="67"/>
      <c r="EM12" s="67"/>
      <c r="EN12" s="67"/>
      <c r="EO12" s="67"/>
      <c r="EP12" s="67"/>
      <c r="EQ12" s="67"/>
      <c r="ER12" s="67"/>
      <c r="ES12" s="67"/>
      <c r="ET12" s="67"/>
      <c r="EU12" s="67"/>
      <c r="EV12" s="67"/>
      <c r="EW12" s="67"/>
      <c r="EX12" s="67"/>
      <c r="EY12" s="67"/>
      <c r="EZ12" s="67"/>
      <c r="FA12" s="67"/>
      <c r="FB12" s="67"/>
      <c r="FC12" s="67"/>
      <c r="FD12" s="67"/>
      <c r="FE12" s="67"/>
      <c r="FF12" s="67"/>
      <c r="FG12" s="67"/>
      <c r="FH12" s="67"/>
      <c r="FI12" s="67"/>
      <c r="FJ12" s="67"/>
      <c r="FK12" s="67"/>
      <c r="FL12" s="67"/>
      <c r="FM12" s="67"/>
      <c r="FN12" s="67"/>
      <c r="FO12" s="67"/>
      <c r="FP12" s="67"/>
      <c r="FQ12" s="67"/>
      <c r="FR12" s="67"/>
      <c r="FS12" s="67"/>
      <c r="FT12" s="67"/>
      <c r="FU12" s="67"/>
      <c r="FV12" s="67"/>
      <c r="FW12" s="67"/>
      <c r="FX12" s="67"/>
      <c r="FY12" s="67"/>
      <c r="FZ12" s="67"/>
      <c r="GA12" s="67"/>
      <c r="GB12" s="67"/>
      <c r="GC12" s="67"/>
      <c r="GD12" s="67"/>
      <c r="GE12" s="67"/>
      <c r="GF12" s="67"/>
      <c r="GG12" s="67"/>
      <c r="GH12" s="67"/>
      <c r="GI12" s="67"/>
      <c r="GJ12" s="67"/>
      <c r="GK12" s="67"/>
      <c r="GL12" s="67"/>
      <c r="GM12" s="67"/>
      <c r="GN12" s="67"/>
      <c r="GO12" s="67"/>
      <c r="GP12" s="67"/>
      <c r="GQ12" s="67"/>
      <c r="GR12" s="67"/>
      <c r="GS12" s="67"/>
      <c r="GT12" s="67"/>
      <c r="GU12" s="67"/>
      <c r="GV12" s="67"/>
    </row>
    <row r="13" spans="1:204" s="68" customFormat="1" ht="27.75" x14ac:dyDescent="0.35">
      <c r="A13" s="54" t="s">
        <v>149</v>
      </c>
      <c r="B13" s="69"/>
      <c r="C13" s="70"/>
      <c r="D13" s="54" t="s">
        <v>171</v>
      </c>
      <c r="E13" s="66"/>
      <c r="F13" s="66"/>
      <c r="G13" s="67"/>
      <c r="H13" s="67"/>
      <c r="I13" s="67"/>
      <c r="J13" s="67"/>
      <c r="K13" s="67"/>
      <c r="L13" s="67"/>
      <c r="M13" s="67"/>
      <c r="N13" s="67"/>
      <c r="O13" s="67"/>
      <c r="P13" s="67"/>
      <c r="Q13" s="67"/>
      <c r="R13" s="67"/>
      <c r="S13" s="67"/>
      <c r="T13" s="67"/>
      <c r="U13" s="67"/>
      <c r="V13" s="67"/>
      <c r="W13" s="67"/>
      <c r="X13" s="67"/>
      <c r="Y13" s="67"/>
      <c r="Z13" s="67"/>
      <c r="AA13" s="67"/>
      <c r="AB13" s="67"/>
      <c r="AC13" s="67"/>
      <c r="AD13" s="67"/>
      <c r="AE13" s="67"/>
      <c r="AF13" s="67"/>
      <c r="AG13" s="67"/>
      <c r="AH13" s="67"/>
      <c r="AI13" s="67"/>
      <c r="AJ13" s="67"/>
      <c r="AK13" s="67"/>
      <c r="AL13" s="67"/>
      <c r="AM13" s="67"/>
      <c r="AN13" s="67"/>
      <c r="AO13" s="67"/>
      <c r="AP13" s="67"/>
      <c r="AQ13" s="67"/>
      <c r="AR13" s="67"/>
      <c r="AS13" s="67"/>
      <c r="AT13" s="67"/>
      <c r="AU13" s="67"/>
      <c r="AV13" s="67"/>
      <c r="AW13" s="67"/>
      <c r="AX13" s="67"/>
      <c r="AY13" s="67"/>
      <c r="AZ13" s="67"/>
      <c r="BA13" s="67"/>
      <c r="BB13" s="67"/>
      <c r="BC13" s="67"/>
      <c r="BD13" s="67"/>
      <c r="BE13" s="67"/>
      <c r="BF13" s="67"/>
      <c r="BG13" s="67"/>
      <c r="BH13" s="67"/>
      <c r="BI13" s="67"/>
      <c r="BJ13" s="67"/>
      <c r="BK13" s="67"/>
      <c r="BL13" s="67"/>
      <c r="BM13" s="67"/>
      <c r="BN13" s="67"/>
      <c r="BO13" s="67"/>
      <c r="BP13" s="67"/>
      <c r="BQ13" s="67"/>
      <c r="BR13" s="67"/>
      <c r="BS13" s="67"/>
      <c r="BT13" s="67"/>
      <c r="BU13" s="67"/>
      <c r="BV13" s="67"/>
      <c r="BW13" s="67"/>
      <c r="BX13" s="67"/>
      <c r="BY13" s="67"/>
      <c r="BZ13" s="67"/>
      <c r="CA13" s="67"/>
      <c r="CB13" s="67"/>
      <c r="CC13" s="67"/>
      <c r="CD13" s="67"/>
      <c r="CE13" s="67"/>
      <c r="CF13" s="67"/>
      <c r="CG13" s="67"/>
      <c r="CH13" s="67"/>
      <c r="CI13" s="67"/>
      <c r="CJ13" s="67"/>
      <c r="CK13" s="67"/>
      <c r="CL13" s="67"/>
      <c r="CM13" s="67"/>
      <c r="CN13" s="67"/>
      <c r="CO13" s="67"/>
      <c r="CP13" s="67"/>
      <c r="CQ13" s="67"/>
      <c r="CR13" s="67"/>
      <c r="CS13" s="67"/>
      <c r="CT13" s="67"/>
      <c r="CU13" s="67"/>
      <c r="CV13" s="67"/>
      <c r="CW13" s="67"/>
      <c r="CX13" s="67"/>
      <c r="CY13" s="67"/>
      <c r="CZ13" s="67"/>
      <c r="DA13" s="67"/>
      <c r="DB13" s="67"/>
      <c r="DC13" s="67"/>
      <c r="DD13" s="67"/>
      <c r="DE13" s="67"/>
      <c r="DF13" s="67"/>
      <c r="DG13" s="67"/>
      <c r="DH13" s="67"/>
      <c r="DI13" s="67"/>
      <c r="DJ13" s="67"/>
      <c r="DK13" s="67"/>
      <c r="DL13" s="67"/>
      <c r="DM13" s="67"/>
      <c r="DN13" s="67"/>
      <c r="DO13" s="67"/>
      <c r="DP13" s="67"/>
      <c r="DQ13" s="67"/>
      <c r="DR13" s="67"/>
      <c r="DS13" s="67"/>
      <c r="DT13" s="67"/>
      <c r="DU13" s="67"/>
      <c r="DV13" s="67"/>
      <c r="DW13" s="67"/>
      <c r="DX13" s="67"/>
      <c r="DY13" s="67"/>
      <c r="DZ13" s="67"/>
      <c r="EA13" s="67"/>
      <c r="EB13" s="67"/>
      <c r="EC13" s="67"/>
      <c r="ED13" s="67"/>
      <c r="EE13" s="67"/>
      <c r="EF13" s="67"/>
      <c r="EG13" s="67"/>
      <c r="EH13" s="67"/>
      <c r="EI13" s="67"/>
      <c r="EJ13" s="67"/>
      <c r="EK13" s="67"/>
      <c r="EL13" s="67"/>
      <c r="EM13" s="67"/>
      <c r="EN13" s="67"/>
      <c r="EO13" s="67"/>
      <c r="EP13" s="67"/>
      <c r="EQ13" s="67"/>
      <c r="ER13" s="67"/>
      <c r="ES13" s="67"/>
      <c r="ET13" s="67"/>
      <c r="EU13" s="67"/>
      <c r="EV13" s="67"/>
      <c r="EW13" s="67"/>
      <c r="EX13" s="67"/>
      <c r="EY13" s="67"/>
      <c r="EZ13" s="67"/>
      <c r="FA13" s="67"/>
      <c r="FB13" s="67"/>
      <c r="FC13" s="67"/>
      <c r="FD13" s="67"/>
      <c r="FE13" s="67"/>
      <c r="FF13" s="67"/>
      <c r="FG13" s="67"/>
      <c r="FH13" s="67"/>
      <c r="FI13" s="67"/>
      <c r="FJ13" s="67"/>
      <c r="FK13" s="67"/>
      <c r="FL13" s="67"/>
      <c r="FM13" s="67"/>
      <c r="FN13" s="67"/>
      <c r="FO13" s="67"/>
      <c r="FP13" s="67"/>
      <c r="FQ13" s="67"/>
      <c r="FR13" s="67"/>
      <c r="FS13" s="67"/>
      <c r="FT13" s="67"/>
      <c r="FU13" s="67"/>
      <c r="FV13" s="67"/>
      <c r="FW13" s="67"/>
      <c r="FX13" s="67"/>
      <c r="FY13" s="67"/>
      <c r="FZ13" s="67"/>
      <c r="GA13" s="67"/>
      <c r="GB13" s="67"/>
      <c r="GC13" s="67"/>
      <c r="GD13" s="67"/>
      <c r="GE13" s="67"/>
      <c r="GF13" s="67"/>
      <c r="GG13" s="67"/>
      <c r="GH13" s="67"/>
      <c r="GI13" s="67"/>
      <c r="GJ13" s="67"/>
      <c r="GK13" s="67"/>
      <c r="GL13" s="67"/>
      <c r="GM13" s="67"/>
      <c r="GN13" s="67"/>
      <c r="GO13" s="67"/>
      <c r="GP13" s="67"/>
      <c r="GQ13" s="67"/>
      <c r="GR13" s="67"/>
      <c r="GS13" s="67"/>
      <c r="GT13" s="67"/>
      <c r="GU13" s="67"/>
      <c r="GV13" s="67"/>
    </row>
    <row r="14" spans="1:204" s="68" customFormat="1" ht="27.75" x14ac:dyDescent="0.35">
      <c r="A14" s="54" t="s">
        <v>150</v>
      </c>
      <c r="B14" s="69"/>
      <c r="C14" s="70"/>
      <c r="D14" s="54" t="s">
        <v>172</v>
      </c>
      <c r="E14" s="66"/>
      <c r="F14" s="66"/>
      <c r="G14" s="67"/>
      <c r="H14" s="67"/>
      <c r="I14" s="67"/>
      <c r="J14" s="67"/>
      <c r="K14" s="67"/>
      <c r="L14" s="67"/>
      <c r="M14" s="67"/>
      <c r="N14" s="67"/>
      <c r="O14" s="67"/>
      <c r="P14" s="67"/>
      <c r="Q14" s="67"/>
      <c r="R14" s="67"/>
      <c r="S14" s="67"/>
      <c r="T14" s="67"/>
      <c r="U14" s="67"/>
      <c r="V14" s="67"/>
      <c r="W14" s="67"/>
      <c r="X14" s="67"/>
      <c r="Y14" s="67"/>
      <c r="Z14" s="67"/>
      <c r="AA14" s="67"/>
      <c r="AB14" s="67"/>
      <c r="AC14" s="67"/>
      <c r="AD14" s="67"/>
      <c r="AE14" s="67"/>
      <c r="AF14" s="67"/>
      <c r="AG14" s="67"/>
      <c r="AH14" s="67"/>
      <c r="AI14" s="67"/>
      <c r="AJ14" s="67"/>
      <c r="AK14" s="67"/>
      <c r="AL14" s="67"/>
      <c r="AM14" s="67"/>
      <c r="AN14" s="67"/>
      <c r="AO14" s="67"/>
      <c r="AP14" s="67"/>
      <c r="AQ14" s="67"/>
      <c r="AR14" s="67"/>
      <c r="AS14" s="67"/>
      <c r="AT14" s="67"/>
      <c r="AU14" s="67"/>
      <c r="AV14" s="67"/>
      <c r="AW14" s="67"/>
      <c r="AX14" s="67"/>
      <c r="AY14" s="67"/>
      <c r="AZ14" s="67"/>
      <c r="BA14" s="67"/>
      <c r="BB14" s="67"/>
      <c r="BC14" s="67"/>
      <c r="BD14" s="67"/>
      <c r="BE14" s="67"/>
      <c r="BF14" s="67"/>
      <c r="BG14" s="67"/>
      <c r="BH14" s="67"/>
      <c r="BI14" s="67"/>
      <c r="BJ14" s="67"/>
      <c r="BK14" s="67"/>
      <c r="BL14" s="67"/>
      <c r="BM14" s="67"/>
      <c r="BN14" s="67"/>
      <c r="BO14" s="67"/>
      <c r="BP14" s="67"/>
      <c r="BQ14" s="67"/>
      <c r="BR14" s="67"/>
      <c r="BS14" s="67"/>
      <c r="BT14" s="67"/>
      <c r="BU14" s="67"/>
      <c r="BV14" s="67"/>
      <c r="BW14" s="67"/>
      <c r="BX14" s="67"/>
      <c r="BY14" s="67"/>
      <c r="BZ14" s="67"/>
      <c r="CA14" s="67"/>
      <c r="CB14" s="67"/>
      <c r="CC14" s="67"/>
      <c r="CD14" s="67"/>
      <c r="CE14" s="67"/>
      <c r="CF14" s="67"/>
      <c r="CG14" s="67"/>
      <c r="CH14" s="67"/>
      <c r="CI14" s="67"/>
      <c r="CJ14" s="67"/>
      <c r="CK14" s="67"/>
      <c r="CL14" s="67"/>
      <c r="CM14" s="67"/>
      <c r="CN14" s="67"/>
      <c r="CO14" s="67"/>
      <c r="CP14" s="67"/>
      <c r="CQ14" s="67"/>
      <c r="CR14" s="67"/>
      <c r="CS14" s="67"/>
      <c r="CT14" s="67"/>
      <c r="CU14" s="67"/>
      <c r="CV14" s="67"/>
      <c r="CW14" s="67"/>
      <c r="CX14" s="67"/>
      <c r="CY14" s="67"/>
      <c r="CZ14" s="67"/>
      <c r="DA14" s="67"/>
      <c r="DB14" s="67"/>
      <c r="DC14" s="67"/>
      <c r="DD14" s="67"/>
      <c r="DE14" s="67"/>
      <c r="DF14" s="67"/>
      <c r="DG14" s="67"/>
      <c r="DH14" s="67"/>
      <c r="DI14" s="67"/>
      <c r="DJ14" s="67"/>
      <c r="DK14" s="67"/>
      <c r="DL14" s="67"/>
      <c r="DM14" s="67"/>
      <c r="DN14" s="67"/>
      <c r="DO14" s="67"/>
      <c r="DP14" s="67"/>
      <c r="DQ14" s="67"/>
      <c r="DR14" s="67"/>
      <c r="DS14" s="67"/>
      <c r="DT14" s="67"/>
      <c r="DU14" s="67"/>
      <c r="DV14" s="67"/>
      <c r="DW14" s="67"/>
      <c r="DX14" s="67"/>
      <c r="DY14" s="67"/>
      <c r="DZ14" s="67"/>
      <c r="EA14" s="67"/>
      <c r="EB14" s="67"/>
      <c r="EC14" s="67"/>
      <c r="ED14" s="67"/>
      <c r="EE14" s="67"/>
      <c r="EF14" s="67"/>
      <c r="EG14" s="67"/>
      <c r="EH14" s="67"/>
      <c r="EI14" s="67"/>
      <c r="EJ14" s="67"/>
      <c r="EK14" s="67"/>
      <c r="EL14" s="67"/>
      <c r="EM14" s="67"/>
      <c r="EN14" s="67"/>
      <c r="EO14" s="67"/>
      <c r="EP14" s="67"/>
      <c r="EQ14" s="67"/>
      <c r="ER14" s="67"/>
      <c r="ES14" s="67"/>
      <c r="ET14" s="67"/>
      <c r="EU14" s="67"/>
      <c r="EV14" s="67"/>
      <c r="EW14" s="67"/>
      <c r="EX14" s="67"/>
      <c r="EY14" s="67"/>
      <c r="EZ14" s="67"/>
      <c r="FA14" s="67"/>
      <c r="FB14" s="67"/>
      <c r="FC14" s="67"/>
      <c r="FD14" s="67"/>
      <c r="FE14" s="67"/>
      <c r="FF14" s="67"/>
      <c r="FG14" s="67"/>
      <c r="FH14" s="67"/>
      <c r="FI14" s="67"/>
      <c r="FJ14" s="67"/>
      <c r="FK14" s="67"/>
      <c r="FL14" s="67"/>
      <c r="FM14" s="67"/>
      <c r="FN14" s="67"/>
      <c r="FO14" s="67"/>
      <c r="FP14" s="67"/>
      <c r="FQ14" s="67"/>
      <c r="FR14" s="67"/>
      <c r="FS14" s="67"/>
      <c r="FT14" s="67"/>
      <c r="FU14" s="67"/>
      <c r="FV14" s="67"/>
      <c r="FW14" s="67"/>
      <c r="FX14" s="67"/>
      <c r="FY14" s="67"/>
      <c r="FZ14" s="67"/>
      <c r="GA14" s="67"/>
      <c r="GB14" s="67"/>
      <c r="GC14" s="67"/>
      <c r="GD14" s="67"/>
      <c r="GE14" s="67"/>
      <c r="GF14" s="67"/>
      <c r="GG14" s="67"/>
      <c r="GH14" s="67"/>
      <c r="GI14" s="67"/>
      <c r="GJ14" s="67"/>
      <c r="GK14" s="67"/>
      <c r="GL14" s="67"/>
      <c r="GM14" s="67"/>
      <c r="GN14" s="67"/>
      <c r="GO14" s="67"/>
      <c r="GP14" s="67"/>
      <c r="GQ14" s="67"/>
      <c r="GR14" s="67"/>
      <c r="GS14" s="67"/>
      <c r="GT14" s="67"/>
      <c r="GU14" s="67"/>
      <c r="GV14" s="67"/>
    </row>
    <row r="15" spans="1:204" s="68" customFormat="1" ht="27.75" x14ac:dyDescent="0.35">
      <c r="A15" s="54" t="s">
        <v>151</v>
      </c>
      <c r="B15" s="69"/>
      <c r="C15" s="70"/>
      <c r="D15" s="54" t="s">
        <v>173</v>
      </c>
      <c r="E15" s="66"/>
      <c r="F15" s="66"/>
      <c r="G15" s="67"/>
      <c r="H15" s="67"/>
      <c r="I15" s="67"/>
      <c r="J15" s="67"/>
      <c r="K15" s="67"/>
      <c r="L15" s="67"/>
      <c r="M15" s="67"/>
      <c r="N15" s="67"/>
      <c r="O15" s="67"/>
      <c r="P15" s="67"/>
      <c r="Q15" s="67"/>
      <c r="R15" s="67"/>
      <c r="S15" s="67"/>
      <c r="T15" s="67"/>
      <c r="U15" s="67"/>
      <c r="V15" s="67"/>
      <c r="W15" s="67"/>
      <c r="X15" s="67"/>
      <c r="Y15" s="67"/>
      <c r="Z15" s="67"/>
      <c r="AA15" s="67"/>
      <c r="AB15" s="67"/>
      <c r="AC15" s="67"/>
      <c r="AD15" s="67"/>
      <c r="AE15" s="67"/>
      <c r="AF15" s="67"/>
      <c r="AG15" s="67"/>
      <c r="AH15" s="67"/>
      <c r="AI15" s="67"/>
      <c r="AJ15" s="67"/>
      <c r="AK15" s="67"/>
      <c r="AL15" s="67"/>
      <c r="AM15" s="67"/>
      <c r="AN15" s="67"/>
      <c r="AO15" s="67"/>
      <c r="AP15" s="67"/>
      <c r="AQ15" s="67"/>
      <c r="AR15" s="67"/>
      <c r="AS15" s="67"/>
      <c r="AT15" s="67"/>
      <c r="AU15" s="67"/>
      <c r="AV15" s="67"/>
      <c r="AW15" s="67"/>
      <c r="AX15" s="67"/>
      <c r="AY15" s="67"/>
      <c r="AZ15" s="67"/>
      <c r="BA15" s="67"/>
      <c r="BB15" s="67"/>
      <c r="BC15" s="67"/>
      <c r="BD15" s="67"/>
      <c r="BE15" s="67"/>
      <c r="BF15" s="67"/>
      <c r="BG15" s="67"/>
      <c r="BH15" s="67"/>
      <c r="BI15" s="67"/>
      <c r="BJ15" s="67"/>
      <c r="BK15" s="67"/>
      <c r="BL15" s="67"/>
      <c r="BM15" s="67"/>
      <c r="BN15" s="67"/>
      <c r="BO15" s="67"/>
      <c r="BP15" s="67"/>
      <c r="BQ15" s="67"/>
      <c r="BR15" s="67"/>
      <c r="BS15" s="67"/>
      <c r="BT15" s="67"/>
      <c r="BU15" s="67"/>
      <c r="BV15" s="67"/>
      <c r="BW15" s="67"/>
      <c r="BX15" s="67"/>
      <c r="BY15" s="67"/>
      <c r="BZ15" s="67"/>
      <c r="CA15" s="67"/>
      <c r="CB15" s="67"/>
      <c r="CC15" s="67"/>
      <c r="CD15" s="67"/>
      <c r="CE15" s="67"/>
      <c r="CF15" s="67"/>
      <c r="CG15" s="67"/>
      <c r="CH15" s="67"/>
      <c r="CI15" s="67"/>
      <c r="CJ15" s="67"/>
      <c r="CK15" s="67"/>
      <c r="CL15" s="67"/>
      <c r="CM15" s="67"/>
      <c r="CN15" s="67"/>
      <c r="CO15" s="67"/>
      <c r="CP15" s="67"/>
      <c r="CQ15" s="67"/>
      <c r="CR15" s="67"/>
      <c r="CS15" s="67"/>
      <c r="CT15" s="67"/>
      <c r="CU15" s="67"/>
      <c r="CV15" s="67"/>
      <c r="CW15" s="67"/>
      <c r="CX15" s="67"/>
      <c r="CY15" s="67"/>
      <c r="CZ15" s="67"/>
      <c r="DA15" s="67"/>
      <c r="DB15" s="67"/>
      <c r="DC15" s="67"/>
      <c r="DD15" s="67"/>
      <c r="DE15" s="67"/>
      <c r="DF15" s="67"/>
      <c r="DG15" s="67"/>
      <c r="DH15" s="67"/>
      <c r="DI15" s="67"/>
      <c r="DJ15" s="67"/>
      <c r="DK15" s="67"/>
      <c r="DL15" s="67"/>
      <c r="DM15" s="67"/>
      <c r="DN15" s="67"/>
      <c r="DO15" s="67"/>
      <c r="DP15" s="67"/>
      <c r="DQ15" s="67"/>
      <c r="DR15" s="67"/>
      <c r="DS15" s="67"/>
      <c r="DT15" s="67"/>
      <c r="DU15" s="67"/>
      <c r="DV15" s="67"/>
      <c r="DW15" s="67"/>
      <c r="DX15" s="67"/>
      <c r="DY15" s="67"/>
      <c r="DZ15" s="67"/>
      <c r="EA15" s="67"/>
      <c r="EB15" s="67"/>
      <c r="EC15" s="67"/>
      <c r="ED15" s="67"/>
      <c r="EE15" s="67"/>
      <c r="EF15" s="67"/>
      <c r="EG15" s="67"/>
      <c r="EH15" s="67"/>
      <c r="EI15" s="67"/>
      <c r="EJ15" s="67"/>
      <c r="EK15" s="67"/>
      <c r="EL15" s="67"/>
      <c r="EM15" s="67"/>
      <c r="EN15" s="67"/>
      <c r="EO15" s="67"/>
      <c r="EP15" s="67"/>
      <c r="EQ15" s="67"/>
      <c r="ER15" s="67"/>
      <c r="ES15" s="67"/>
      <c r="ET15" s="67"/>
      <c r="EU15" s="67"/>
      <c r="EV15" s="67"/>
      <c r="EW15" s="67"/>
      <c r="EX15" s="67"/>
      <c r="EY15" s="67"/>
      <c r="EZ15" s="67"/>
      <c r="FA15" s="67"/>
      <c r="FB15" s="67"/>
      <c r="FC15" s="67"/>
      <c r="FD15" s="67"/>
      <c r="FE15" s="67"/>
      <c r="FF15" s="67"/>
      <c r="FG15" s="67"/>
      <c r="FH15" s="67"/>
      <c r="FI15" s="67"/>
      <c r="FJ15" s="67"/>
      <c r="FK15" s="67"/>
      <c r="FL15" s="67"/>
      <c r="FM15" s="67"/>
      <c r="FN15" s="67"/>
      <c r="FO15" s="67"/>
      <c r="FP15" s="67"/>
      <c r="FQ15" s="67"/>
      <c r="FR15" s="67"/>
      <c r="FS15" s="67"/>
      <c r="FT15" s="67"/>
      <c r="FU15" s="67"/>
      <c r="FV15" s="67"/>
      <c r="FW15" s="67"/>
      <c r="FX15" s="67"/>
      <c r="FY15" s="67"/>
      <c r="FZ15" s="67"/>
      <c r="GA15" s="67"/>
      <c r="GB15" s="67"/>
      <c r="GC15" s="67"/>
      <c r="GD15" s="67"/>
      <c r="GE15" s="67"/>
      <c r="GF15" s="67"/>
      <c r="GG15" s="67"/>
      <c r="GH15" s="67"/>
      <c r="GI15" s="67"/>
      <c r="GJ15" s="67"/>
      <c r="GK15" s="67"/>
      <c r="GL15" s="67"/>
      <c r="GM15" s="67"/>
      <c r="GN15" s="67"/>
      <c r="GO15" s="67"/>
      <c r="GP15" s="67"/>
      <c r="GQ15" s="67"/>
      <c r="GR15" s="67"/>
      <c r="GS15" s="67"/>
      <c r="GT15" s="67"/>
      <c r="GU15" s="67"/>
      <c r="GV15" s="67"/>
    </row>
    <row r="16" spans="1:204" ht="27.75" x14ac:dyDescent="0.35">
      <c r="A16" s="54" t="s">
        <v>152</v>
      </c>
      <c r="D16" s="54" t="s">
        <v>174</v>
      </c>
    </row>
    <row r="17" spans="1:4" ht="27.75" x14ac:dyDescent="0.35">
      <c r="A17" s="54" t="s">
        <v>153</v>
      </c>
      <c r="D17" s="54" t="s">
        <v>175</v>
      </c>
    </row>
    <row r="18" spans="1:4" ht="27.75" x14ac:dyDescent="0.35">
      <c r="A18" s="54" t="s">
        <v>154</v>
      </c>
      <c r="D18" s="54" t="s">
        <v>176</v>
      </c>
    </row>
    <row r="19" spans="1:4" ht="27.75" x14ac:dyDescent="0.35">
      <c r="A19" s="54" t="s">
        <v>155</v>
      </c>
      <c r="D19" s="54" t="s">
        <v>177</v>
      </c>
    </row>
    <row r="20" spans="1:4" ht="27.75" x14ac:dyDescent="0.35">
      <c r="A20" s="54" t="s">
        <v>156</v>
      </c>
      <c r="D20" s="54" t="s">
        <v>178</v>
      </c>
    </row>
    <row r="21" spans="1:4" ht="27.75" x14ac:dyDescent="0.35">
      <c r="A21" s="54" t="s">
        <v>157</v>
      </c>
      <c r="D21" s="54" t="s">
        <v>179</v>
      </c>
    </row>
    <row r="22" spans="1:4" ht="27.75" x14ac:dyDescent="0.35">
      <c r="A22" s="54" t="s">
        <v>158</v>
      </c>
      <c r="D22" s="54" t="s">
        <v>180</v>
      </c>
    </row>
    <row r="23" spans="1:4" ht="27.75" x14ac:dyDescent="0.35">
      <c r="A23" s="54" t="s">
        <v>159</v>
      </c>
      <c r="D23" s="54" t="s">
        <v>181</v>
      </c>
    </row>
  </sheetData>
  <hyperlinks>
    <hyperlink ref="B2" r:id="rId1"/>
  </hyperlinks>
  <pageMargins left="0.7" right="0.7" top="0.75" bottom="0.75" header="0.3" footer="0.3"/>
  <pageSetup paperSize="9"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M1000"/>
  <sheetViews>
    <sheetView workbookViewId="0">
      <selection activeCell="D22" sqref="D22"/>
    </sheetView>
  </sheetViews>
  <sheetFormatPr defaultColWidth="14.42578125" defaultRowHeight="15" x14ac:dyDescent="0.25"/>
  <cols>
    <col min="1" max="1" width="35.7109375" style="73" customWidth="1"/>
    <col min="2" max="2" width="4.140625" style="40" customWidth="1"/>
    <col min="3" max="3" width="14.42578125" style="40"/>
    <col min="4" max="11" width="22.5703125" style="40" customWidth="1"/>
  </cols>
  <sheetData>
    <row r="1" spans="1:11" ht="45" x14ac:dyDescent="0.25">
      <c r="A1" s="73" t="s">
        <v>79</v>
      </c>
      <c r="B1" s="41" t="s">
        <v>80</v>
      </c>
      <c r="C1" s="42" t="s">
        <v>81</v>
      </c>
      <c r="D1" s="43" t="s">
        <v>82</v>
      </c>
      <c r="E1" s="43" t="s">
        <v>83</v>
      </c>
      <c r="F1" s="43" t="s">
        <v>84</v>
      </c>
      <c r="G1" s="43" t="s">
        <v>85</v>
      </c>
      <c r="H1" s="43" t="s">
        <v>86</v>
      </c>
      <c r="I1" s="43" t="s">
        <v>87</v>
      </c>
      <c r="J1" s="44" t="s">
        <v>88</v>
      </c>
      <c r="K1" s="43" t="s">
        <v>89</v>
      </c>
    </row>
    <row r="2" spans="1:11" x14ac:dyDescent="0.25">
      <c r="A2" s="74"/>
      <c r="B2" s="40" t="s">
        <v>115</v>
      </c>
      <c r="C2" s="40">
        <v>0</v>
      </c>
      <c r="D2" s="45" t="s">
        <v>116</v>
      </c>
      <c r="E2" s="45" t="s">
        <v>117</v>
      </c>
      <c r="F2" s="45" t="s">
        <v>118</v>
      </c>
      <c r="G2" s="45" t="s">
        <v>119</v>
      </c>
      <c r="H2" s="45" t="s">
        <v>120</v>
      </c>
      <c r="I2" s="45" t="s">
        <v>121</v>
      </c>
      <c r="J2" s="46">
        <v>1088770.46</v>
      </c>
      <c r="K2" s="40" t="s">
        <v>90</v>
      </c>
    </row>
    <row r="3" spans="1:11" x14ac:dyDescent="0.25">
      <c r="D3" s="45"/>
      <c r="E3" s="45"/>
      <c r="F3" s="45"/>
      <c r="G3" s="45"/>
      <c r="H3" s="45"/>
      <c r="I3" s="45"/>
      <c r="J3" s="46"/>
    </row>
    <row r="4" spans="1:11" x14ac:dyDescent="0.25">
      <c r="D4" s="45"/>
      <c r="E4" s="45"/>
      <c r="F4" s="45"/>
      <c r="G4" s="45"/>
      <c r="H4" s="45"/>
      <c r="I4" s="45"/>
      <c r="J4" s="46"/>
    </row>
    <row r="5" spans="1:11" x14ac:dyDescent="0.25">
      <c r="D5" s="45"/>
      <c r="E5" s="45"/>
      <c r="F5" s="45"/>
      <c r="G5" s="45"/>
      <c r="H5" s="45"/>
      <c r="I5" s="45"/>
      <c r="J5" s="46"/>
    </row>
    <row r="6" spans="1:11" x14ac:dyDescent="0.25">
      <c r="D6" s="45"/>
      <c r="E6" s="45"/>
      <c r="F6" s="45"/>
      <c r="G6" s="45"/>
      <c r="H6" s="45"/>
      <c r="I6" s="45"/>
      <c r="J6" s="46"/>
    </row>
    <row r="7" spans="1:11" x14ac:dyDescent="0.25">
      <c r="D7" s="45"/>
      <c r="E7" s="45"/>
      <c r="F7" s="45"/>
      <c r="G7" s="45"/>
      <c r="H7" s="45"/>
      <c r="I7" s="45"/>
      <c r="J7" s="46"/>
    </row>
    <row r="8" spans="1:11" x14ac:dyDescent="0.25">
      <c r="D8" s="45"/>
      <c r="E8" s="45"/>
      <c r="F8" s="45"/>
      <c r="G8" s="45"/>
      <c r="H8" s="45"/>
      <c r="I8" s="45"/>
      <c r="J8" s="46"/>
    </row>
    <row r="9" spans="1:11" x14ac:dyDescent="0.25">
      <c r="D9" s="45"/>
      <c r="E9" s="45"/>
      <c r="F9" s="45"/>
      <c r="G9" s="45"/>
      <c r="H9" s="45"/>
      <c r="I9" s="45"/>
      <c r="J9" s="46"/>
    </row>
    <row r="10" spans="1:11" x14ac:dyDescent="0.25">
      <c r="D10" s="45"/>
      <c r="E10" s="45"/>
      <c r="F10" s="45"/>
      <c r="G10" s="45"/>
      <c r="H10" s="45"/>
      <c r="I10" s="45"/>
      <c r="J10" s="46"/>
    </row>
    <row r="11" spans="1:11" x14ac:dyDescent="0.25">
      <c r="D11" s="45"/>
      <c r="E11" s="45"/>
      <c r="F11" s="45"/>
      <c r="G11" s="45"/>
      <c r="H11" s="45"/>
      <c r="I11" s="45"/>
      <c r="J11" s="46"/>
    </row>
    <row r="12" spans="1:11" x14ac:dyDescent="0.25">
      <c r="D12" s="45"/>
      <c r="E12" s="45"/>
      <c r="F12" s="45"/>
      <c r="G12" s="45"/>
      <c r="H12" s="45"/>
      <c r="I12" s="45"/>
      <c r="J12" s="46"/>
    </row>
    <row r="13" spans="1:11" x14ac:dyDescent="0.25">
      <c r="D13" s="45"/>
      <c r="E13" s="45"/>
      <c r="F13" s="45"/>
      <c r="G13" s="45"/>
      <c r="H13" s="45"/>
      <c r="I13" s="45"/>
      <c r="J13" s="46"/>
    </row>
    <row r="14" spans="1:11" x14ac:dyDescent="0.25">
      <c r="D14" s="45"/>
      <c r="E14" s="45"/>
      <c r="F14" s="45"/>
      <c r="G14" s="45"/>
      <c r="H14" s="45"/>
      <c r="I14" s="45"/>
      <c r="J14" s="46"/>
    </row>
    <row r="15" spans="1:11" x14ac:dyDescent="0.25">
      <c r="D15" s="45"/>
      <c r="E15" s="45"/>
      <c r="F15" s="45"/>
      <c r="G15" s="45"/>
      <c r="H15" s="45"/>
      <c r="I15" s="45"/>
      <c r="J15" s="46"/>
    </row>
    <row r="16" spans="1:11" x14ac:dyDescent="0.25">
      <c r="D16" s="45"/>
      <c r="E16" s="45"/>
      <c r="F16" s="45"/>
      <c r="G16" s="45"/>
      <c r="H16" s="45"/>
      <c r="I16" s="45"/>
      <c r="J16" s="46"/>
    </row>
    <row r="17" spans="4:10" x14ac:dyDescent="0.25">
      <c r="D17" s="45"/>
      <c r="E17" s="45"/>
      <c r="F17" s="45"/>
      <c r="G17" s="45"/>
      <c r="H17" s="45"/>
      <c r="I17" s="45"/>
      <c r="J17" s="46"/>
    </row>
    <row r="18" spans="4:10" x14ac:dyDescent="0.25">
      <c r="D18" s="45"/>
      <c r="E18" s="45"/>
      <c r="F18" s="45"/>
      <c r="G18" s="45"/>
      <c r="H18" s="45"/>
      <c r="I18" s="45"/>
      <c r="J18" s="46"/>
    </row>
    <row r="1000" spans="12:13" x14ac:dyDescent="0.25">
      <c r="L1000" s="40"/>
      <c r="M1000" s="40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5</vt:i4>
      </vt:variant>
      <vt:variant>
        <vt:lpstr>Именованные диапазоны</vt:lpstr>
      </vt:variant>
      <vt:variant>
        <vt:i4>1</vt:i4>
      </vt:variant>
    </vt:vector>
  </HeadingPairs>
  <TitlesOfParts>
    <vt:vector size="6" baseType="lpstr">
      <vt:lpstr>proga</vt:lpstr>
      <vt:lpstr>список_няш</vt:lpstr>
      <vt:lpstr>tensei</vt:lpstr>
      <vt:lpstr>getCh</vt:lpstr>
      <vt:lpstr>sh1</vt:lpstr>
      <vt:lpstr>proga!Область_печати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2023-09-07T11:51:11Z</dcterms:modified>
</cp:coreProperties>
</file>